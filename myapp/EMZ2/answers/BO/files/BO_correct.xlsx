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8_{38BA359E-1E23-47C4-BC33-04E3F0CD3362}" xr6:coauthVersionLast="47" xr6:coauthVersionMax="47" xr10:uidLastSave="{00000000-0000-0000-0000-000000000000}"/>
  <bookViews>
    <workbookView xWindow="270" yWindow="2460" windowWidth="27495" windowHeight="18420" xr2:uid="{E6F8596F-ECBA-43EC-B46F-256728EB7B30}"/>
  </bookViews>
  <sheets>
    <sheet name="BO_risa_scora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<sst xmlns="http://schemas.openxmlformats.org/spreadsheetml/2006/main" count="152" uniqueCount="62">
  <si>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</si>
  <si>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</si>
  <si>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</si>
  <si>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</si>
  <si>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</si>
  <si>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</si>
  <si>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</si>
  <si>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</si>
  <si>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</si>
  <si>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</si>
  <si>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</si>
  <si>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</si>
  <si>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</si>
  <si>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</si>
  <si>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</si>
  <si>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</si>
  <si>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</si>
  <si>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</si>
  <si>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</si>
  <si>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</si>
  <si>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</si>
  <si>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</si>
  <si>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</si>
  <si>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</si>
  <si>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</si>
  <si>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</si>
  <si>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</si>
  <si>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</si>
  <si>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</si>
  <si>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</si>
  <si>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</si>
  <si>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</si>
  <si>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</si>
  <si>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</si>
  <si>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</si>
  <si>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</si>
  <si>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</si>
  <si>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</si>
  <si>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</si>
  <si>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[PU2] Verbesserung der Positionierung am Arbeitsmarkt</t>
  </si>
  <si>
    <t>Chance</t>
  </si>
  <si>
    <t>E-CMZ Klinikum KL [Teil2 - BO Fragen]</t>
  </si>
  <si>
    <t>classic</t>
  </si>
  <si>
    <t>PU001</t>
  </si>
  <si>
    <t>KUTEJA</t>
  </si>
  <si>
    <t>[PU4] Integration der Pädaudiometrie in die HNO bzw. Kopfzentrum</t>
  </si>
  <si>
    <t>PU002</t>
  </si>
  <si>
    <t>[ÖU3] Erschütterungen während der Bauphase (Beeinflusst Medizin-und Labortechnik)</t>
  </si>
  <si>
    <t>Risiko</t>
  </si>
  <si>
    <t>ÖU001</t>
  </si>
  <si>
    <t>[ÖU5] Verunreinigung des Grundwasser</t>
  </si>
  <si>
    <t>ÖU002</t>
  </si>
  <si>
    <t>[UV2] Änderung/Reduktion der/des medizinischen Leistungsplanung/-spektrums/-angebotsplanung bis zur Inbetriebnahme</t>
  </si>
  <si>
    <t>UV001</t>
  </si>
  <si>
    <t>[PA8] Vorgegebene Laufzeiten und Fristen sind nicht berücksichtigt (Beschlussfassung Aufsichtsrat, Einreichung Landesrechnungshof, Ausschreibungsverfahren uvm.)</t>
  </si>
  <si>
    <t>PA001</t>
  </si>
  <si>
    <t>[PF1] Folgekostenermittlung nicht transparent</t>
  </si>
  <si>
    <t>PF001</t>
  </si>
  <si>
    <t>[PF2] Betriebsorganisationskonzept nicht gelöst</t>
  </si>
  <si>
    <t>PF002</t>
  </si>
  <si>
    <t>KREUZH</t>
  </si>
  <si>
    <t>ClassicGrid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</si>
</sst>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5473-62E1-4F81-8D1B-B8103CB7AF2C}">
  <dimension ref="A1:AN17"/>
  <sheetViews>
    <sheetView tabSelected="1" workbookViewId="0">
      <selection activeCell="E2" sqref="E2:E17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61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19636262</v>
      </c>
      <c r="B2">
        <v>10</v>
      </c>
      <c r="C2">
        <v>2</v>
      </c>
      <c r="D2">
        <v>3</v>
      </c>
      <c r="E2" t="str">
        <f>"GRID" &amp; D2 &amp; C2</f>
        <v>GRID32</v>
      </c>
      <c r="J2">
        <v>24</v>
      </c>
      <c r="K2">
        <v>6</v>
      </c>
      <c r="L2">
        <v>-1</v>
      </c>
      <c r="M2">
        <v>-1</v>
      </c>
      <c r="N2">
        <v>4032</v>
      </c>
      <c r="O2">
        <v>4034</v>
      </c>
      <c r="P2">
        <v>4033</v>
      </c>
      <c r="Q2">
        <v>922</v>
      </c>
      <c r="R2">
        <v>922</v>
      </c>
      <c r="S2" t="s">
        <v>39</v>
      </c>
      <c r="T2" t="s">
        <v>40</v>
      </c>
      <c r="U2">
        <v>302</v>
      </c>
      <c r="V2" t="s">
        <v>41</v>
      </c>
      <c r="W2">
        <v>6</v>
      </c>
      <c r="X2" t="s">
        <v>42</v>
      </c>
      <c r="Y2" t="s">
        <v>43</v>
      </c>
      <c r="Z2">
        <v>4032</v>
      </c>
      <c r="AA2">
        <v>1806</v>
      </c>
      <c r="AB2" t="s">
        <v>42</v>
      </c>
      <c r="AC2" s="1">
        <v>45909</v>
      </c>
      <c r="AD2">
        <v>1</v>
      </c>
      <c r="AE2">
        <v>22</v>
      </c>
      <c r="AG2" s="1">
        <v>45897</v>
      </c>
      <c r="AI2">
        <v>1</v>
      </c>
      <c r="AJ2" t="s">
        <v>44</v>
      </c>
      <c r="AK2">
        <v>1</v>
      </c>
    </row>
    <row r="3" spans="1:40" x14ac:dyDescent="0.25">
      <c r="A3">
        <v>19636263</v>
      </c>
      <c r="B3">
        <v>10</v>
      </c>
      <c r="C3">
        <v>2</v>
      </c>
      <c r="D3">
        <v>4</v>
      </c>
      <c r="E3" t="str">
        <f t="shared" ref="E3:E17" si="0">"GRID" &amp; D3 &amp; C3</f>
        <v>GRID42</v>
      </c>
      <c r="J3">
        <v>32</v>
      </c>
      <c r="K3">
        <v>8</v>
      </c>
      <c r="L3">
        <v>-1</v>
      </c>
      <c r="M3">
        <v>-1</v>
      </c>
      <c r="N3">
        <v>4033</v>
      </c>
      <c r="O3">
        <v>4032</v>
      </c>
      <c r="P3">
        <v>4031</v>
      </c>
      <c r="Q3">
        <v>923</v>
      </c>
      <c r="R3">
        <v>923</v>
      </c>
      <c r="S3" t="s">
        <v>45</v>
      </c>
      <c r="T3" t="s">
        <v>40</v>
      </c>
      <c r="U3">
        <v>302</v>
      </c>
      <c r="V3" t="s">
        <v>41</v>
      </c>
      <c r="W3">
        <v>7</v>
      </c>
      <c r="X3" t="s">
        <v>42</v>
      </c>
      <c r="Y3" t="s">
        <v>46</v>
      </c>
      <c r="Z3">
        <v>4033</v>
      </c>
      <c r="AA3">
        <v>1806</v>
      </c>
      <c r="AB3" t="s">
        <v>42</v>
      </c>
      <c r="AC3" s="1">
        <v>45909</v>
      </c>
      <c r="AD3">
        <v>1</v>
      </c>
      <c r="AE3">
        <v>22</v>
      </c>
      <c r="AG3" s="1">
        <v>45897</v>
      </c>
      <c r="AI3">
        <v>1</v>
      </c>
      <c r="AJ3" t="s">
        <v>44</v>
      </c>
      <c r="AK3">
        <v>1</v>
      </c>
    </row>
    <row r="4" spans="1:40" x14ac:dyDescent="0.25">
      <c r="A4">
        <v>19636257</v>
      </c>
      <c r="B4">
        <v>13</v>
      </c>
      <c r="C4">
        <v>3</v>
      </c>
      <c r="D4">
        <v>4</v>
      </c>
      <c r="E4" t="str">
        <f t="shared" si="0"/>
        <v>GRID43</v>
      </c>
      <c r="J4">
        <v>48</v>
      </c>
      <c r="K4">
        <v>12</v>
      </c>
      <c r="L4">
        <v>-1</v>
      </c>
      <c r="M4">
        <v>-1</v>
      </c>
      <c r="N4">
        <v>4037</v>
      </c>
      <c r="O4">
        <v>0</v>
      </c>
      <c r="P4">
        <v>4038</v>
      </c>
      <c r="Q4">
        <v>924</v>
      </c>
      <c r="R4">
        <v>924</v>
      </c>
      <c r="S4" t="s">
        <v>47</v>
      </c>
      <c r="T4" t="s">
        <v>48</v>
      </c>
      <c r="U4">
        <v>302</v>
      </c>
      <c r="V4" t="s">
        <v>41</v>
      </c>
      <c r="W4">
        <v>1</v>
      </c>
      <c r="X4" t="s">
        <v>42</v>
      </c>
      <c r="Y4" t="s">
        <v>49</v>
      </c>
      <c r="Z4">
        <v>4037</v>
      </c>
      <c r="AA4">
        <v>1806</v>
      </c>
      <c r="AB4" t="s">
        <v>42</v>
      </c>
      <c r="AC4" s="1">
        <v>45909</v>
      </c>
      <c r="AD4">
        <v>1</v>
      </c>
      <c r="AE4">
        <v>22</v>
      </c>
      <c r="AG4" s="1">
        <v>45897</v>
      </c>
      <c r="AI4">
        <v>1</v>
      </c>
      <c r="AJ4" t="s">
        <v>44</v>
      </c>
      <c r="AK4">
        <v>1</v>
      </c>
    </row>
    <row r="5" spans="1:40" x14ac:dyDescent="0.25">
      <c r="A5">
        <v>19636258</v>
      </c>
      <c r="B5">
        <v>17</v>
      </c>
      <c r="C5">
        <v>2</v>
      </c>
      <c r="D5">
        <v>3</v>
      </c>
      <c r="E5" t="str">
        <f t="shared" si="0"/>
        <v>GRID32</v>
      </c>
      <c r="J5">
        <v>24</v>
      </c>
      <c r="K5">
        <v>6</v>
      </c>
      <c r="L5">
        <v>-1</v>
      </c>
      <c r="M5">
        <v>-1</v>
      </c>
      <c r="N5">
        <v>4038</v>
      </c>
      <c r="O5">
        <v>4037</v>
      </c>
      <c r="P5">
        <v>4036</v>
      </c>
      <c r="Q5">
        <v>925</v>
      </c>
      <c r="R5">
        <v>925</v>
      </c>
      <c r="S5" t="s">
        <v>50</v>
      </c>
      <c r="T5" t="s">
        <v>48</v>
      </c>
      <c r="U5">
        <v>302</v>
      </c>
      <c r="V5" t="s">
        <v>41</v>
      </c>
      <c r="W5">
        <v>2</v>
      </c>
      <c r="X5" t="s">
        <v>42</v>
      </c>
      <c r="Y5" t="s">
        <v>51</v>
      </c>
      <c r="Z5">
        <v>4038</v>
      </c>
      <c r="AA5">
        <v>1806</v>
      </c>
      <c r="AB5" t="s">
        <v>42</v>
      </c>
      <c r="AC5" s="1">
        <v>45909</v>
      </c>
      <c r="AD5">
        <v>1</v>
      </c>
      <c r="AE5">
        <v>22</v>
      </c>
      <c r="AG5" s="1">
        <v>45897</v>
      </c>
      <c r="AI5">
        <v>1</v>
      </c>
      <c r="AJ5" t="s">
        <v>44</v>
      </c>
      <c r="AK5">
        <v>1</v>
      </c>
    </row>
    <row r="6" spans="1:40" x14ac:dyDescent="0.25">
      <c r="A6">
        <v>19636264</v>
      </c>
      <c r="B6">
        <v>15</v>
      </c>
      <c r="C6">
        <v>3</v>
      </c>
      <c r="D6">
        <v>3</v>
      </c>
      <c r="E6" t="str">
        <f t="shared" si="0"/>
        <v>GRID33</v>
      </c>
      <c r="J6">
        <v>36</v>
      </c>
      <c r="K6">
        <v>9</v>
      </c>
      <c r="L6">
        <v>-1</v>
      </c>
      <c r="M6">
        <v>-1</v>
      </c>
      <c r="N6">
        <v>4031</v>
      </c>
      <c r="O6">
        <v>4033</v>
      </c>
      <c r="P6">
        <v>0</v>
      </c>
      <c r="Q6">
        <v>926</v>
      </c>
      <c r="R6">
        <v>926</v>
      </c>
      <c r="S6" t="s">
        <v>52</v>
      </c>
      <c r="T6" t="s">
        <v>48</v>
      </c>
      <c r="U6">
        <v>302</v>
      </c>
      <c r="V6" t="s">
        <v>41</v>
      </c>
      <c r="W6">
        <v>8</v>
      </c>
      <c r="X6" t="s">
        <v>42</v>
      </c>
      <c r="Y6" t="s">
        <v>53</v>
      </c>
      <c r="Z6">
        <v>4031</v>
      </c>
      <c r="AA6">
        <v>1806</v>
      </c>
      <c r="AB6" t="s">
        <v>42</v>
      </c>
      <c r="AC6" s="1">
        <v>45909</v>
      </c>
      <c r="AD6">
        <v>1</v>
      </c>
      <c r="AE6">
        <v>22</v>
      </c>
      <c r="AG6" s="1">
        <v>45897</v>
      </c>
      <c r="AI6">
        <v>1</v>
      </c>
      <c r="AJ6" t="s">
        <v>44</v>
      </c>
      <c r="AK6">
        <v>1</v>
      </c>
    </row>
    <row r="7" spans="1:40" x14ac:dyDescent="0.25">
      <c r="A7">
        <v>19636259</v>
      </c>
      <c r="B7">
        <v>14</v>
      </c>
      <c r="C7">
        <v>4</v>
      </c>
      <c r="D7">
        <v>4</v>
      </c>
      <c r="E7" t="str">
        <f t="shared" si="0"/>
        <v>GRID44</v>
      </c>
      <c r="J7">
        <v>64</v>
      </c>
      <c r="K7">
        <v>16</v>
      </c>
      <c r="L7">
        <v>-1</v>
      </c>
      <c r="M7">
        <v>-1</v>
      </c>
      <c r="N7">
        <v>4036</v>
      </c>
      <c r="O7">
        <v>4038</v>
      </c>
      <c r="P7">
        <v>4035</v>
      </c>
      <c r="Q7">
        <v>927</v>
      </c>
      <c r="R7">
        <v>927</v>
      </c>
      <c r="S7" t="s">
        <v>54</v>
      </c>
      <c r="T7" t="s">
        <v>48</v>
      </c>
      <c r="U7">
        <v>302</v>
      </c>
      <c r="V7" t="s">
        <v>41</v>
      </c>
      <c r="W7">
        <v>3</v>
      </c>
      <c r="X7" t="s">
        <v>42</v>
      </c>
      <c r="Y7" t="s">
        <v>55</v>
      </c>
      <c r="Z7">
        <v>4036</v>
      </c>
      <c r="AA7">
        <v>1806</v>
      </c>
      <c r="AB7" t="s">
        <v>42</v>
      </c>
      <c r="AC7" s="1">
        <v>45909</v>
      </c>
      <c r="AD7">
        <v>1</v>
      </c>
      <c r="AE7">
        <v>22</v>
      </c>
      <c r="AG7" s="1">
        <v>45897</v>
      </c>
      <c r="AI7">
        <v>1</v>
      </c>
      <c r="AJ7" t="s">
        <v>44</v>
      </c>
      <c r="AK7">
        <v>1</v>
      </c>
    </row>
    <row r="8" spans="1:40" x14ac:dyDescent="0.25">
      <c r="A8">
        <v>19636260</v>
      </c>
      <c r="B8">
        <v>7</v>
      </c>
      <c r="C8">
        <v>3</v>
      </c>
      <c r="D8">
        <v>4</v>
      </c>
      <c r="E8" t="str">
        <f t="shared" si="0"/>
        <v>GRID43</v>
      </c>
      <c r="J8">
        <v>48</v>
      </c>
      <c r="K8">
        <v>12</v>
      </c>
      <c r="L8">
        <v>-1</v>
      </c>
      <c r="M8">
        <v>-1</v>
      </c>
      <c r="N8">
        <v>4035</v>
      </c>
      <c r="O8">
        <v>4036</v>
      </c>
      <c r="P8">
        <v>4034</v>
      </c>
      <c r="Q8">
        <v>928</v>
      </c>
      <c r="R8">
        <v>928</v>
      </c>
      <c r="S8" t="s">
        <v>56</v>
      </c>
      <c r="T8" t="s">
        <v>48</v>
      </c>
      <c r="U8">
        <v>302</v>
      </c>
      <c r="V8" t="s">
        <v>41</v>
      </c>
      <c r="W8">
        <v>4</v>
      </c>
      <c r="X8" t="s">
        <v>42</v>
      </c>
      <c r="Y8" t="s">
        <v>57</v>
      </c>
      <c r="Z8">
        <v>4035</v>
      </c>
      <c r="AA8">
        <v>1806</v>
      </c>
      <c r="AB8" t="s">
        <v>42</v>
      </c>
      <c r="AC8" s="1">
        <v>45909</v>
      </c>
      <c r="AD8">
        <v>1</v>
      </c>
      <c r="AE8">
        <v>22</v>
      </c>
      <c r="AG8" s="1">
        <v>45897</v>
      </c>
      <c r="AI8">
        <v>1</v>
      </c>
      <c r="AJ8" t="s">
        <v>44</v>
      </c>
      <c r="AK8">
        <v>1</v>
      </c>
    </row>
    <row r="9" spans="1:40" x14ac:dyDescent="0.25">
      <c r="A9">
        <v>19636261</v>
      </c>
      <c r="B9">
        <v>5</v>
      </c>
      <c r="C9">
        <v>3</v>
      </c>
      <c r="D9">
        <v>4</v>
      </c>
      <c r="E9" t="str">
        <f t="shared" si="0"/>
        <v>GRID43</v>
      </c>
      <c r="J9">
        <v>48</v>
      </c>
      <c r="K9">
        <v>12</v>
      </c>
      <c r="L9">
        <v>-1</v>
      </c>
      <c r="M9">
        <v>-1</v>
      </c>
      <c r="N9">
        <v>4034</v>
      </c>
      <c r="O9">
        <v>4035</v>
      </c>
      <c r="P9">
        <v>4032</v>
      </c>
      <c r="Q9">
        <v>929</v>
      </c>
      <c r="R9">
        <v>929</v>
      </c>
      <c r="S9" t="s">
        <v>58</v>
      </c>
      <c r="T9" t="s">
        <v>48</v>
      </c>
      <c r="U9">
        <v>302</v>
      </c>
      <c r="V9" t="s">
        <v>41</v>
      </c>
      <c r="W9">
        <v>5</v>
      </c>
      <c r="X9" t="s">
        <v>42</v>
      </c>
      <c r="Y9" t="s">
        <v>59</v>
      </c>
      <c r="Z9">
        <v>4034</v>
      </c>
      <c r="AA9">
        <v>1806</v>
      </c>
      <c r="AB9" t="s">
        <v>42</v>
      </c>
      <c r="AC9" s="1">
        <v>45909</v>
      </c>
      <c r="AD9">
        <v>1</v>
      </c>
      <c r="AE9">
        <v>22</v>
      </c>
      <c r="AG9" s="1">
        <v>45897</v>
      </c>
      <c r="AI9">
        <v>1</v>
      </c>
      <c r="AJ9" t="s">
        <v>44</v>
      </c>
      <c r="AK9">
        <v>1</v>
      </c>
    </row>
    <row r="10" spans="1:40" x14ac:dyDescent="0.25">
      <c r="A10">
        <v>19630864</v>
      </c>
      <c r="B10">
        <v>8</v>
      </c>
      <c r="C10">
        <v>4</v>
      </c>
      <c r="D10">
        <v>4</v>
      </c>
      <c r="E10" t="str">
        <f t="shared" si="0"/>
        <v>GRID44</v>
      </c>
      <c r="J10">
        <v>64</v>
      </c>
      <c r="K10">
        <v>16</v>
      </c>
      <c r="L10">
        <v>-1</v>
      </c>
      <c r="M10">
        <v>-1</v>
      </c>
      <c r="N10">
        <v>4032</v>
      </c>
      <c r="O10">
        <v>4034</v>
      </c>
      <c r="P10">
        <v>4033</v>
      </c>
      <c r="Q10">
        <v>922</v>
      </c>
      <c r="R10">
        <v>922</v>
      </c>
      <c r="S10" t="s">
        <v>39</v>
      </c>
      <c r="T10" t="s">
        <v>40</v>
      </c>
      <c r="U10">
        <v>302</v>
      </c>
      <c r="V10" t="s">
        <v>41</v>
      </c>
      <c r="W10">
        <v>6</v>
      </c>
      <c r="X10" t="s">
        <v>42</v>
      </c>
      <c r="Y10" t="s">
        <v>43</v>
      </c>
      <c r="Z10">
        <v>4032</v>
      </c>
      <c r="AA10">
        <v>1828</v>
      </c>
      <c r="AB10" t="s">
        <v>42</v>
      </c>
      <c r="AC10" s="1">
        <v>45916</v>
      </c>
      <c r="AD10">
        <v>1</v>
      </c>
      <c r="AE10">
        <v>1101</v>
      </c>
      <c r="AG10" s="1">
        <v>45897</v>
      </c>
      <c r="AI10">
        <v>1</v>
      </c>
      <c r="AJ10" t="s">
        <v>60</v>
      </c>
      <c r="AK10">
        <v>1</v>
      </c>
    </row>
    <row r="11" spans="1:40" x14ac:dyDescent="0.25">
      <c r="A11">
        <v>19630865</v>
      </c>
      <c r="B11">
        <v>39</v>
      </c>
      <c r="C11">
        <v>4</v>
      </c>
      <c r="D11">
        <v>4</v>
      </c>
      <c r="E11" t="str">
        <f t="shared" si="0"/>
        <v>GRID44</v>
      </c>
      <c r="J11">
        <v>64</v>
      </c>
      <c r="K11">
        <v>16</v>
      </c>
      <c r="L11">
        <v>-1</v>
      </c>
      <c r="M11">
        <v>-1</v>
      </c>
      <c r="N11">
        <v>4033</v>
      </c>
      <c r="O11">
        <v>4032</v>
      </c>
      <c r="P11">
        <v>4031</v>
      </c>
      <c r="Q11">
        <v>923</v>
      </c>
      <c r="R11">
        <v>923</v>
      </c>
      <c r="S11" t="s">
        <v>45</v>
      </c>
      <c r="T11" t="s">
        <v>40</v>
      </c>
      <c r="U11">
        <v>302</v>
      </c>
      <c r="V11" t="s">
        <v>41</v>
      </c>
      <c r="W11">
        <v>7</v>
      </c>
      <c r="X11" t="s">
        <v>42</v>
      </c>
      <c r="Y11" t="s">
        <v>46</v>
      </c>
      <c r="Z11">
        <v>4033</v>
      </c>
      <c r="AA11">
        <v>1828</v>
      </c>
      <c r="AB11" t="s">
        <v>42</v>
      </c>
      <c r="AC11" s="1">
        <v>45916</v>
      </c>
      <c r="AD11">
        <v>1</v>
      </c>
      <c r="AE11">
        <v>1101</v>
      </c>
      <c r="AG11" s="1">
        <v>45897</v>
      </c>
      <c r="AI11">
        <v>1</v>
      </c>
      <c r="AJ11" t="s">
        <v>60</v>
      </c>
      <c r="AK11">
        <v>1</v>
      </c>
    </row>
    <row r="12" spans="1:40" x14ac:dyDescent="0.25">
      <c r="A12">
        <v>19630859</v>
      </c>
      <c r="B12">
        <v>8</v>
      </c>
      <c r="C12">
        <v>4</v>
      </c>
      <c r="D12">
        <v>2</v>
      </c>
      <c r="E12" t="str">
        <f t="shared" si="0"/>
        <v>GRID24</v>
      </c>
      <c r="J12">
        <v>32</v>
      </c>
      <c r="K12">
        <v>8</v>
      </c>
      <c r="L12">
        <v>-1</v>
      </c>
      <c r="M12">
        <v>-1</v>
      </c>
      <c r="N12">
        <v>4037</v>
      </c>
      <c r="O12">
        <v>0</v>
      </c>
      <c r="P12">
        <v>4038</v>
      </c>
      <c r="Q12">
        <v>924</v>
      </c>
      <c r="R12">
        <v>924</v>
      </c>
      <c r="S12" t="s">
        <v>47</v>
      </c>
      <c r="T12" t="s">
        <v>48</v>
      </c>
      <c r="U12">
        <v>302</v>
      </c>
      <c r="V12" t="s">
        <v>41</v>
      </c>
      <c r="W12">
        <v>1</v>
      </c>
      <c r="X12" t="s">
        <v>42</v>
      </c>
      <c r="Y12" t="s">
        <v>49</v>
      </c>
      <c r="Z12">
        <v>4037</v>
      </c>
      <c r="AA12">
        <v>1828</v>
      </c>
      <c r="AB12" t="s">
        <v>42</v>
      </c>
      <c r="AC12" s="1">
        <v>45916</v>
      </c>
      <c r="AD12">
        <v>1</v>
      </c>
      <c r="AE12">
        <v>1101</v>
      </c>
      <c r="AG12" s="1">
        <v>45897</v>
      </c>
      <c r="AI12">
        <v>1</v>
      </c>
      <c r="AJ12" t="s">
        <v>60</v>
      </c>
      <c r="AK12">
        <v>1</v>
      </c>
    </row>
    <row r="13" spans="1:40" x14ac:dyDescent="0.25">
      <c r="A13">
        <v>19630860</v>
      </c>
      <c r="B13">
        <v>9</v>
      </c>
      <c r="C13">
        <v>2</v>
      </c>
      <c r="D13">
        <v>3</v>
      </c>
      <c r="E13" t="str">
        <f t="shared" si="0"/>
        <v>GRID32</v>
      </c>
      <c r="J13">
        <v>24</v>
      </c>
      <c r="K13">
        <v>6</v>
      </c>
      <c r="L13">
        <v>-1</v>
      </c>
      <c r="M13">
        <v>-1</v>
      </c>
      <c r="N13">
        <v>4038</v>
      </c>
      <c r="O13">
        <v>4037</v>
      </c>
      <c r="P13">
        <v>4036</v>
      </c>
      <c r="Q13">
        <v>925</v>
      </c>
      <c r="R13">
        <v>925</v>
      </c>
      <c r="S13" t="s">
        <v>50</v>
      </c>
      <c r="T13" t="s">
        <v>48</v>
      </c>
      <c r="U13">
        <v>302</v>
      </c>
      <c r="V13" t="s">
        <v>41</v>
      </c>
      <c r="W13">
        <v>2</v>
      </c>
      <c r="X13" t="s">
        <v>42</v>
      </c>
      <c r="Y13" t="s">
        <v>51</v>
      </c>
      <c r="Z13">
        <v>4038</v>
      </c>
      <c r="AA13">
        <v>1828</v>
      </c>
      <c r="AB13" t="s">
        <v>42</v>
      </c>
      <c r="AC13" s="1">
        <v>45916</v>
      </c>
      <c r="AD13">
        <v>1</v>
      </c>
      <c r="AE13">
        <v>1101</v>
      </c>
      <c r="AG13" s="1">
        <v>45897</v>
      </c>
      <c r="AI13">
        <v>1</v>
      </c>
      <c r="AJ13" t="s">
        <v>60</v>
      </c>
      <c r="AK13">
        <v>1</v>
      </c>
    </row>
    <row r="14" spans="1:40" x14ac:dyDescent="0.25">
      <c r="A14">
        <v>19630866</v>
      </c>
      <c r="B14">
        <v>14</v>
      </c>
      <c r="C14">
        <v>2</v>
      </c>
      <c r="D14">
        <v>3</v>
      </c>
      <c r="E14" t="str">
        <f t="shared" si="0"/>
        <v>GRID32</v>
      </c>
      <c r="J14">
        <v>24</v>
      </c>
      <c r="K14">
        <v>6</v>
      </c>
      <c r="L14">
        <v>-1</v>
      </c>
      <c r="M14">
        <v>-1</v>
      </c>
      <c r="N14">
        <v>4031</v>
      </c>
      <c r="O14">
        <v>4033</v>
      </c>
      <c r="P14">
        <v>0</v>
      </c>
      <c r="Q14">
        <v>926</v>
      </c>
      <c r="R14">
        <v>926</v>
      </c>
      <c r="S14" t="s">
        <v>52</v>
      </c>
      <c r="T14" t="s">
        <v>48</v>
      </c>
      <c r="U14">
        <v>302</v>
      </c>
      <c r="V14" t="s">
        <v>41</v>
      </c>
      <c r="W14">
        <v>8</v>
      </c>
      <c r="X14" t="s">
        <v>42</v>
      </c>
      <c r="Y14" t="s">
        <v>53</v>
      </c>
      <c r="Z14">
        <v>4031</v>
      </c>
      <c r="AA14">
        <v>1828</v>
      </c>
      <c r="AB14" t="s">
        <v>42</v>
      </c>
      <c r="AC14" s="1">
        <v>45916</v>
      </c>
      <c r="AD14">
        <v>1</v>
      </c>
      <c r="AE14">
        <v>1101</v>
      </c>
      <c r="AG14" s="1">
        <v>45897</v>
      </c>
      <c r="AI14">
        <v>1</v>
      </c>
      <c r="AJ14" t="s">
        <v>60</v>
      </c>
      <c r="AK14">
        <v>1</v>
      </c>
    </row>
    <row r="15" spans="1:40" x14ac:dyDescent="0.25">
      <c r="A15">
        <v>19630861</v>
      </c>
      <c r="B15">
        <v>20</v>
      </c>
      <c r="C15">
        <v>4</v>
      </c>
      <c r="D15">
        <v>4</v>
      </c>
      <c r="E15" t="str">
        <f t="shared" si="0"/>
        <v>GRID44</v>
      </c>
      <c r="J15">
        <v>64</v>
      </c>
      <c r="K15">
        <v>16</v>
      </c>
      <c r="L15">
        <v>-1</v>
      </c>
      <c r="M15">
        <v>-1</v>
      </c>
      <c r="N15">
        <v>4036</v>
      </c>
      <c r="O15">
        <v>4038</v>
      </c>
      <c r="P15">
        <v>4035</v>
      </c>
      <c r="Q15">
        <v>927</v>
      </c>
      <c r="R15">
        <v>927</v>
      </c>
      <c r="S15" t="s">
        <v>54</v>
      </c>
      <c r="T15" t="s">
        <v>48</v>
      </c>
      <c r="U15">
        <v>302</v>
      </c>
      <c r="V15" t="s">
        <v>41</v>
      </c>
      <c r="W15">
        <v>3</v>
      </c>
      <c r="X15" t="s">
        <v>42</v>
      </c>
      <c r="Y15" t="s">
        <v>55</v>
      </c>
      <c r="Z15">
        <v>4036</v>
      </c>
      <c r="AA15">
        <v>1828</v>
      </c>
      <c r="AB15" t="s">
        <v>42</v>
      </c>
      <c r="AC15" s="1">
        <v>45916</v>
      </c>
      <c r="AD15">
        <v>1</v>
      </c>
      <c r="AE15">
        <v>1101</v>
      </c>
      <c r="AG15" s="1">
        <v>45897</v>
      </c>
      <c r="AI15">
        <v>1</v>
      </c>
      <c r="AJ15" t="s">
        <v>60</v>
      </c>
      <c r="AK15">
        <v>1</v>
      </c>
    </row>
    <row r="16" spans="1:40" x14ac:dyDescent="0.25">
      <c r="A16">
        <v>19630862</v>
      </c>
      <c r="B16">
        <v>8</v>
      </c>
      <c r="C16">
        <v>4</v>
      </c>
      <c r="D16">
        <v>3</v>
      </c>
      <c r="E16" t="str">
        <f t="shared" si="0"/>
        <v>GRID34</v>
      </c>
      <c r="J16">
        <v>48</v>
      </c>
      <c r="K16">
        <v>12</v>
      </c>
      <c r="L16">
        <v>-1</v>
      </c>
      <c r="M16">
        <v>-1</v>
      </c>
      <c r="N16">
        <v>4035</v>
      </c>
      <c r="O16">
        <v>4036</v>
      </c>
      <c r="P16">
        <v>4034</v>
      </c>
      <c r="Q16">
        <v>928</v>
      </c>
      <c r="R16">
        <v>928</v>
      </c>
      <c r="S16" t="s">
        <v>56</v>
      </c>
      <c r="T16" t="s">
        <v>48</v>
      </c>
      <c r="U16">
        <v>302</v>
      </c>
      <c r="V16" t="s">
        <v>41</v>
      </c>
      <c r="W16">
        <v>4</v>
      </c>
      <c r="X16" t="s">
        <v>42</v>
      </c>
      <c r="Y16" t="s">
        <v>57</v>
      </c>
      <c r="Z16">
        <v>4035</v>
      </c>
      <c r="AA16">
        <v>1828</v>
      </c>
      <c r="AB16" t="s">
        <v>42</v>
      </c>
      <c r="AC16" s="1">
        <v>45916</v>
      </c>
      <c r="AD16">
        <v>1</v>
      </c>
      <c r="AE16">
        <v>1101</v>
      </c>
      <c r="AG16" s="1">
        <v>45897</v>
      </c>
      <c r="AI16">
        <v>1</v>
      </c>
      <c r="AJ16" t="s">
        <v>60</v>
      </c>
      <c r="AK16">
        <v>1</v>
      </c>
    </row>
    <row r="17" spans="1:37" x14ac:dyDescent="0.25">
      <c r="A17">
        <v>19630863</v>
      </c>
      <c r="B17">
        <v>11</v>
      </c>
      <c r="C17">
        <v>4</v>
      </c>
      <c r="D17">
        <v>3</v>
      </c>
      <c r="E17" t="str">
        <f t="shared" si="0"/>
        <v>GRID34</v>
      </c>
      <c r="J17">
        <v>48</v>
      </c>
      <c r="K17">
        <v>12</v>
      </c>
      <c r="L17">
        <v>-1</v>
      </c>
      <c r="M17">
        <v>-1</v>
      </c>
      <c r="N17">
        <v>4034</v>
      </c>
      <c r="O17">
        <v>4035</v>
      </c>
      <c r="P17">
        <v>4032</v>
      </c>
      <c r="Q17">
        <v>929</v>
      </c>
      <c r="R17">
        <v>929</v>
      </c>
      <c r="S17" t="s">
        <v>58</v>
      </c>
      <c r="T17" t="s">
        <v>48</v>
      </c>
      <c r="U17">
        <v>302</v>
      </c>
      <c r="V17" t="s">
        <v>41</v>
      </c>
      <c r="W17">
        <v>5</v>
      </c>
      <c r="X17" t="s">
        <v>42</v>
      </c>
      <c r="Y17" t="s">
        <v>59</v>
      </c>
      <c r="Z17">
        <v>4034</v>
      </c>
      <c r="AA17">
        <v>1828</v>
      </c>
      <c r="AB17" t="s">
        <v>42</v>
      </c>
      <c r="AC17" s="1">
        <v>45916</v>
      </c>
      <c r="AD17">
        <v>1</v>
      </c>
      <c r="AE17">
        <v>1101</v>
      </c>
      <c r="AG17" s="1">
        <v>45897</v>
      </c>
      <c r="AI17">
        <v>1</v>
      </c>
      <c r="AJ17" t="s">
        <v>60</v>
      </c>
      <c r="AK1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2025-12-05T18:50:19Z</dcterms:created>
  <dcterms:modified xsi:type="dcterms:W3CDTF">2025-12-05T18:50:19Z</dcterms:modified>
</cp:coreProperties>
</file>