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EMZ2\"/>
    </mc:Choice>
  </mc:AlternateContent>
  <xr:revisionPtr revIDLastSave="0" documentId="8_{0CBD6B42-DA0D-47EB-A433-C83827536F11}" xr6:coauthVersionLast="47" xr6:coauthVersionMax="47" xr10:uidLastSave="{00000000-0000-0000-0000-000000000000}"/>
  <bookViews>
    <workbookView xWindow="21135" yWindow="2460" windowWidth="27495" windowHeight="18420" xr2:uid="{0F8C40A1-390B-4DB3-81A5-D9C2280C89BA}"/>
  </bookViews>
  <sheets>
    <sheet name="PMPL_risa_scora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2" i="1"/>
</calcChain>
</file>

<file path=xl/sharedStrings.xml><?xml version="1.0" encoding="utf-8"?>
<sst xmlns="http://schemas.openxmlformats.org/spreadsheetml/2006/main" count="348" uniqueCount="66">
  <si>
    <t>ANS2SURV_ID</t>
  </si>
  <si>
    <t>ANS2SURV_DURATION</t>
  </si>
  <si>
    <t>IMPACT</t>
  </si>
  <si>
    <t>OCCURRENCE</t>
  </si>
  <si>
    <t>X1PCT</t>
  </si>
  <si>
    <t>Y1PCT</t>
  </si>
  <si>
    <t>X2PCT</t>
  </si>
  <si>
    <t>Y2PCT</t>
  </si>
  <si>
    <t>PROZAHL</t>
  </si>
  <si>
    <t>RPZ</t>
  </si>
  <si>
    <t>GRAPHIO</t>
  </si>
  <si>
    <t>GRAPHRPZ</t>
  </si>
  <si>
    <t>QUES2SURV_ID</t>
  </si>
  <si>
    <t>Q2SID_PREV</t>
  </si>
  <si>
    <t>Q2SID_NEXT</t>
  </si>
  <si>
    <t>QUES2SURV_QUESID</t>
  </si>
  <si>
    <t>QUES_ID</t>
  </si>
  <si>
    <t>QUES_TEXT</t>
  </si>
  <si>
    <t>QUES_TYP</t>
  </si>
  <si>
    <t>QUES2SURV_SURVID</t>
  </si>
  <si>
    <t>SURV_NAME</t>
  </si>
  <si>
    <t>QUES2SURV_SORT</t>
  </si>
  <si>
    <t>QUES2SURV_METHOD</t>
  </si>
  <si>
    <t>QUES2SURV_KBID</t>
  </si>
  <si>
    <t>ANS2SURV_QUES2SURVID</t>
  </si>
  <si>
    <t>ANS2SURV_ACC2SURVID</t>
  </si>
  <si>
    <t>ANS2SURV_METHOD</t>
  </si>
  <si>
    <t>MODIFIED</t>
  </si>
  <si>
    <t>ACC2SURV_GROUPID</t>
  </si>
  <si>
    <t>ACC2SURV_ACCID</t>
  </si>
  <si>
    <t>ACC2SURV_FIRSTSTEP_DATE</t>
  </si>
  <si>
    <t>ACC2SURV_MAILFIRST</t>
  </si>
  <si>
    <t>ACC2SURV_MAILSECOND</t>
  </si>
  <si>
    <t>ACC2SURV_ROLE</t>
  </si>
  <si>
    <t>ACC_ADSUSER</t>
  </si>
  <si>
    <t>ANS2SURV_ANSWERED</t>
  </si>
  <si>
    <t>ANS2SURV_COMMENT</t>
  </si>
  <si>
    <t>QUES_CAUSE</t>
  </si>
  <si>
    <t>QUES_EFFECT</t>
  </si>
  <si>
    <t>[PU3] Widerstand und Einfluss von innen (Abteilungen, Stationen …)</t>
  </si>
  <si>
    <t>Risiko</t>
  </si>
  <si>
    <t>E-CMZ Klinikum KL [Teil2 - PM/PL Fragen]</t>
  </si>
  <si>
    <t>classic</t>
  </si>
  <si>
    <t>PU001</t>
  </si>
  <si>
    <t>KUTEJA</t>
  </si>
  <si>
    <t>[PU4] Widerstand und Einfluss von außen (z.B. Anrainer …)</t>
  </si>
  <si>
    <t>PU002</t>
  </si>
  <si>
    <t>[RA3] negative Stellungnahme durch den Landesrechnungshof</t>
  </si>
  <si>
    <t>RA001</t>
  </si>
  <si>
    <t>[UV1] veränderte Marktentwicklung</t>
  </si>
  <si>
    <t>UV001</t>
  </si>
  <si>
    <t>[PV1] Enger Kostenrahmen, keine vollständige finanzielle Deckung vorhanden</t>
  </si>
  <si>
    <t>PV001</t>
  </si>
  <si>
    <t>[PV3] Planungsfehler</t>
  </si>
  <si>
    <t>PV002</t>
  </si>
  <si>
    <t>[PV4] Kostenplanungsfehler (z. B. Vorhabens Budget, Investitionsprogramm, Betriebsbudget, Folgekosten usw.)</t>
  </si>
  <si>
    <t>PV003</t>
  </si>
  <si>
    <t>[PF3] unerfüllbare Erwartungshaltung an Auftragnehmer</t>
  </si>
  <si>
    <t>PF001</t>
  </si>
  <si>
    <t>[SI1] Sperre von Bereichen in der Tiefgarage (Technik für die BRV Anlage fehlt während der Bauphase)</t>
  </si>
  <si>
    <t>SI001</t>
  </si>
  <si>
    <t>KREUZH</t>
  </si>
  <si>
    <t>KAB_GODECP</t>
  </si>
  <si>
    <t>KAB_JANKCHR</t>
  </si>
  <si>
    <t>OBEREDERF</t>
  </si>
  <si>
    <t>ClassicGrid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</si>
</sst>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7077-3E66-4F66-84D1-0E4B081CB19E}">
  <dimension ref="A1:AN45"/>
  <sheetViews>
    <sheetView tabSelected="1" workbookViewId="0">
      <selection activeCell="H38" sqref="H38"/>
    </sheetView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65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19635844</v>
      </c>
      <c r="B2">
        <v>8</v>
      </c>
      <c r="C2">
        <v>4</v>
      </c>
      <c r="D2">
        <v>3</v>
      </c>
      <c r="E2" t="str">
        <f>"GRID" &amp; D2 &amp; C2</f>
        <v>GRID34</v>
      </c>
      <c r="J2">
        <v>48</v>
      </c>
      <c r="K2">
        <v>12</v>
      </c>
      <c r="L2">
        <v>-1</v>
      </c>
      <c r="M2">
        <v>-1</v>
      </c>
      <c r="N2">
        <v>4060</v>
      </c>
      <c r="O2">
        <v>4062</v>
      </c>
      <c r="P2">
        <v>4061</v>
      </c>
      <c r="Q2">
        <v>944</v>
      </c>
      <c r="R2">
        <v>944</v>
      </c>
      <c r="S2" t="s">
        <v>39</v>
      </c>
      <c r="T2" t="s">
        <v>40</v>
      </c>
      <c r="U2">
        <v>304</v>
      </c>
      <c r="V2" t="s">
        <v>41</v>
      </c>
      <c r="W2">
        <v>2</v>
      </c>
      <c r="X2" t="s">
        <v>42</v>
      </c>
      <c r="Y2" t="s">
        <v>43</v>
      </c>
      <c r="Z2">
        <v>4060</v>
      </c>
      <c r="AA2">
        <v>1804</v>
      </c>
      <c r="AB2" t="s">
        <v>42</v>
      </c>
      <c r="AC2" s="1">
        <v>45909</v>
      </c>
      <c r="AD2">
        <v>1</v>
      </c>
      <c r="AE2">
        <v>22</v>
      </c>
      <c r="AG2" s="1">
        <v>45897</v>
      </c>
      <c r="AI2">
        <v>1</v>
      </c>
      <c r="AJ2" t="s">
        <v>44</v>
      </c>
      <c r="AK2">
        <v>1</v>
      </c>
    </row>
    <row r="3" spans="1:40" x14ac:dyDescent="0.25">
      <c r="A3">
        <v>19635846</v>
      </c>
      <c r="B3">
        <v>9</v>
      </c>
      <c r="C3">
        <v>3</v>
      </c>
      <c r="D3">
        <v>3</v>
      </c>
      <c r="E3" t="str">
        <f t="shared" ref="E3:E45" si="0">"GRID" &amp; D3 &amp; C3</f>
        <v>GRID33</v>
      </c>
      <c r="J3">
        <v>36</v>
      </c>
      <c r="K3">
        <v>9</v>
      </c>
      <c r="L3">
        <v>-1</v>
      </c>
      <c r="M3">
        <v>-1</v>
      </c>
      <c r="N3">
        <v>4061</v>
      </c>
      <c r="O3">
        <v>4060</v>
      </c>
      <c r="P3">
        <v>4057</v>
      </c>
      <c r="Q3">
        <v>945</v>
      </c>
      <c r="R3">
        <v>945</v>
      </c>
      <c r="S3" t="s">
        <v>45</v>
      </c>
      <c r="T3" t="s">
        <v>40</v>
      </c>
      <c r="U3">
        <v>304</v>
      </c>
      <c r="V3" t="s">
        <v>41</v>
      </c>
      <c r="W3">
        <v>3</v>
      </c>
      <c r="X3" t="s">
        <v>42</v>
      </c>
      <c r="Y3" t="s">
        <v>46</v>
      </c>
      <c r="Z3">
        <v>4061</v>
      </c>
      <c r="AA3">
        <v>1804</v>
      </c>
      <c r="AB3" t="s">
        <v>42</v>
      </c>
      <c r="AC3" s="1">
        <v>45909</v>
      </c>
      <c r="AD3">
        <v>1</v>
      </c>
      <c r="AE3">
        <v>22</v>
      </c>
      <c r="AG3" s="1">
        <v>45897</v>
      </c>
      <c r="AI3">
        <v>1</v>
      </c>
      <c r="AJ3" t="s">
        <v>44</v>
      </c>
      <c r="AK3">
        <v>1</v>
      </c>
    </row>
    <row r="4" spans="1:40" x14ac:dyDescent="0.25">
      <c r="A4">
        <v>19635854</v>
      </c>
      <c r="B4">
        <v>11</v>
      </c>
      <c r="C4">
        <v>4</v>
      </c>
      <c r="D4">
        <v>3</v>
      </c>
      <c r="E4" t="str">
        <f t="shared" si="0"/>
        <v>GRID34</v>
      </c>
      <c r="J4">
        <v>48</v>
      </c>
      <c r="K4">
        <v>12</v>
      </c>
      <c r="L4">
        <v>-1</v>
      </c>
      <c r="M4">
        <v>-1</v>
      </c>
      <c r="N4">
        <v>4056</v>
      </c>
      <c r="O4">
        <v>4058</v>
      </c>
      <c r="P4">
        <v>4055</v>
      </c>
      <c r="Q4">
        <v>946</v>
      </c>
      <c r="R4">
        <v>946</v>
      </c>
      <c r="S4" t="s">
        <v>47</v>
      </c>
      <c r="T4" t="s">
        <v>40</v>
      </c>
      <c r="U4">
        <v>304</v>
      </c>
      <c r="V4" t="s">
        <v>41</v>
      </c>
      <c r="W4">
        <v>7</v>
      </c>
      <c r="X4" t="s">
        <v>42</v>
      </c>
      <c r="Y4" t="s">
        <v>48</v>
      </c>
      <c r="Z4">
        <v>4056</v>
      </c>
      <c r="AA4">
        <v>1804</v>
      </c>
      <c r="AB4" t="s">
        <v>42</v>
      </c>
      <c r="AC4" s="1">
        <v>45909</v>
      </c>
      <c r="AD4">
        <v>1</v>
      </c>
      <c r="AE4">
        <v>22</v>
      </c>
      <c r="AG4" s="1">
        <v>45897</v>
      </c>
      <c r="AI4">
        <v>1</v>
      </c>
      <c r="AJ4" t="s">
        <v>44</v>
      </c>
      <c r="AK4">
        <v>1</v>
      </c>
    </row>
    <row r="5" spans="1:40" x14ac:dyDescent="0.25">
      <c r="A5">
        <v>19635858</v>
      </c>
      <c r="B5">
        <v>10</v>
      </c>
      <c r="C5">
        <v>3</v>
      </c>
      <c r="D5">
        <v>4</v>
      </c>
      <c r="E5" t="str">
        <f t="shared" si="0"/>
        <v>GRID43</v>
      </c>
      <c r="J5">
        <v>48</v>
      </c>
      <c r="K5">
        <v>12</v>
      </c>
      <c r="L5">
        <v>-1</v>
      </c>
      <c r="M5">
        <v>-1</v>
      </c>
      <c r="N5">
        <v>4054</v>
      </c>
      <c r="O5">
        <v>4055</v>
      </c>
      <c r="P5">
        <v>0</v>
      </c>
      <c r="Q5">
        <v>947</v>
      </c>
      <c r="R5">
        <v>947</v>
      </c>
      <c r="S5" t="s">
        <v>49</v>
      </c>
      <c r="T5" t="s">
        <v>40</v>
      </c>
      <c r="U5">
        <v>304</v>
      </c>
      <c r="V5" t="s">
        <v>41</v>
      </c>
      <c r="W5">
        <v>9</v>
      </c>
      <c r="X5" t="s">
        <v>42</v>
      </c>
      <c r="Y5" t="s">
        <v>50</v>
      </c>
      <c r="Z5">
        <v>4054</v>
      </c>
      <c r="AA5">
        <v>1804</v>
      </c>
      <c r="AB5" t="s">
        <v>42</v>
      </c>
      <c r="AC5" s="1">
        <v>45909</v>
      </c>
      <c r="AD5">
        <v>1</v>
      </c>
      <c r="AE5">
        <v>22</v>
      </c>
      <c r="AG5" s="1">
        <v>45897</v>
      </c>
      <c r="AI5">
        <v>1</v>
      </c>
      <c r="AJ5" t="s">
        <v>44</v>
      </c>
      <c r="AK5">
        <v>1</v>
      </c>
    </row>
    <row r="6" spans="1:40" x14ac:dyDescent="0.25">
      <c r="A6">
        <v>19635848</v>
      </c>
      <c r="B6">
        <v>11</v>
      </c>
      <c r="C6">
        <v>4</v>
      </c>
      <c r="D6">
        <v>4</v>
      </c>
      <c r="E6" t="str">
        <f t="shared" si="0"/>
        <v>GRID44</v>
      </c>
      <c r="J6">
        <v>64</v>
      </c>
      <c r="K6">
        <v>16</v>
      </c>
      <c r="L6">
        <v>-1</v>
      </c>
      <c r="M6">
        <v>-1</v>
      </c>
      <c r="N6">
        <v>4057</v>
      </c>
      <c r="O6">
        <v>4061</v>
      </c>
      <c r="P6">
        <v>4059</v>
      </c>
      <c r="Q6">
        <v>948</v>
      </c>
      <c r="R6">
        <v>948</v>
      </c>
      <c r="S6" t="s">
        <v>51</v>
      </c>
      <c r="T6" t="s">
        <v>40</v>
      </c>
      <c r="U6">
        <v>304</v>
      </c>
      <c r="V6" t="s">
        <v>41</v>
      </c>
      <c r="W6">
        <v>4</v>
      </c>
      <c r="X6" t="s">
        <v>42</v>
      </c>
      <c r="Y6" t="s">
        <v>52</v>
      </c>
      <c r="Z6">
        <v>4057</v>
      </c>
      <c r="AA6">
        <v>1804</v>
      </c>
      <c r="AB6" t="s">
        <v>42</v>
      </c>
      <c r="AC6" s="1">
        <v>45909</v>
      </c>
      <c r="AD6">
        <v>1</v>
      </c>
      <c r="AE6">
        <v>22</v>
      </c>
      <c r="AG6" s="1">
        <v>45897</v>
      </c>
      <c r="AI6">
        <v>1</v>
      </c>
      <c r="AJ6" t="s">
        <v>44</v>
      </c>
      <c r="AK6">
        <v>1</v>
      </c>
    </row>
    <row r="7" spans="1:40" x14ac:dyDescent="0.25">
      <c r="A7">
        <v>19635850</v>
      </c>
      <c r="B7">
        <v>11</v>
      </c>
      <c r="C7">
        <v>4</v>
      </c>
      <c r="D7">
        <v>3</v>
      </c>
      <c r="E7" t="str">
        <f t="shared" si="0"/>
        <v>GRID34</v>
      </c>
      <c r="J7">
        <v>48</v>
      </c>
      <c r="K7">
        <v>12</v>
      </c>
      <c r="L7">
        <v>-1</v>
      </c>
      <c r="M7">
        <v>-1</v>
      </c>
      <c r="N7">
        <v>4059</v>
      </c>
      <c r="O7">
        <v>4057</v>
      </c>
      <c r="P7">
        <v>4058</v>
      </c>
      <c r="Q7">
        <v>949</v>
      </c>
      <c r="R7">
        <v>949</v>
      </c>
      <c r="S7" t="s">
        <v>53</v>
      </c>
      <c r="T7" t="s">
        <v>40</v>
      </c>
      <c r="U7">
        <v>304</v>
      </c>
      <c r="V7" t="s">
        <v>41</v>
      </c>
      <c r="W7">
        <v>5</v>
      </c>
      <c r="X7" t="s">
        <v>42</v>
      </c>
      <c r="Y7" t="s">
        <v>54</v>
      </c>
      <c r="Z7">
        <v>4059</v>
      </c>
      <c r="AA7">
        <v>1804</v>
      </c>
      <c r="AB7" t="s">
        <v>42</v>
      </c>
      <c r="AC7" s="1">
        <v>45909</v>
      </c>
      <c r="AD7">
        <v>1</v>
      </c>
      <c r="AE7">
        <v>22</v>
      </c>
      <c r="AG7" s="1">
        <v>45897</v>
      </c>
      <c r="AI7">
        <v>1</v>
      </c>
      <c r="AJ7" t="s">
        <v>44</v>
      </c>
      <c r="AK7">
        <v>1</v>
      </c>
    </row>
    <row r="8" spans="1:40" x14ac:dyDescent="0.25">
      <c r="A8">
        <v>19635852</v>
      </c>
      <c r="B8">
        <v>15</v>
      </c>
      <c r="C8">
        <v>5</v>
      </c>
      <c r="D8">
        <v>3</v>
      </c>
      <c r="E8" t="str">
        <f t="shared" si="0"/>
        <v>GRID35</v>
      </c>
      <c r="J8">
        <v>60</v>
      </c>
      <c r="K8">
        <v>15</v>
      </c>
      <c r="L8">
        <v>-1</v>
      </c>
      <c r="M8">
        <v>-1</v>
      </c>
      <c r="N8">
        <v>4058</v>
      </c>
      <c r="O8">
        <v>4059</v>
      </c>
      <c r="P8">
        <v>4056</v>
      </c>
      <c r="Q8">
        <v>950</v>
      </c>
      <c r="R8">
        <v>950</v>
      </c>
      <c r="S8" t="s">
        <v>55</v>
      </c>
      <c r="T8" t="s">
        <v>40</v>
      </c>
      <c r="U8">
        <v>304</v>
      </c>
      <c r="V8" t="s">
        <v>41</v>
      </c>
      <c r="W8">
        <v>6</v>
      </c>
      <c r="X8" t="s">
        <v>42</v>
      </c>
      <c r="Y8" t="s">
        <v>56</v>
      </c>
      <c r="Z8">
        <v>4058</v>
      </c>
      <c r="AA8">
        <v>1804</v>
      </c>
      <c r="AB8" t="s">
        <v>42</v>
      </c>
      <c r="AC8" s="1">
        <v>45909</v>
      </c>
      <c r="AD8">
        <v>1</v>
      </c>
      <c r="AE8">
        <v>22</v>
      </c>
      <c r="AG8" s="1">
        <v>45897</v>
      </c>
      <c r="AI8">
        <v>1</v>
      </c>
      <c r="AJ8" t="s">
        <v>44</v>
      </c>
      <c r="AK8">
        <v>1</v>
      </c>
    </row>
    <row r="9" spans="1:40" x14ac:dyDescent="0.25">
      <c r="A9">
        <v>19635842</v>
      </c>
      <c r="B9">
        <v>18</v>
      </c>
      <c r="C9">
        <v>3</v>
      </c>
      <c r="D9">
        <v>2</v>
      </c>
      <c r="E9" t="str">
        <f t="shared" si="0"/>
        <v>GRID23</v>
      </c>
      <c r="J9">
        <v>24</v>
      </c>
      <c r="K9">
        <v>6</v>
      </c>
      <c r="L9">
        <v>-1</v>
      </c>
      <c r="M9">
        <v>-1</v>
      </c>
      <c r="N9">
        <v>4062</v>
      </c>
      <c r="O9">
        <v>0</v>
      </c>
      <c r="P9">
        <v>4060</v>
      </c>
      <c r="Q9">
        <v>951</v>
      </c>
      <c r="R9">
        <v>951</v>
      </c>
      <c r="S9" t="s">
        <v>57</v>
      </c>
      <c r="T9" t="s">
        <v>40</v>
      </c>
      <c r="U9">
        <v>304</v>
      </c>
      <c r="V9" t="s">
        <v>41</v>
      </c>
      <c r="W9">
        <v>1</v>
      </c>
      <c r="X9" t="s">
        <v>42</v>
      </c>
      <c r="Y9" t="s">
        <v>58</v>
      </c>
      <c r="Z9">
        <v>4062</v>
      </c>
      <c r="AA9">
        <v>1804</v>
      </c>
      <c r="AB9" t="s">
        <v>42</v>
      </c>
      <c r="AC9" s="1">
        <v>45909</v>
      </c>
      <c r="AD9">
        <v>1</v>
      </c>
      <c r="AE9">
        <v>22</v>
      </c>
      <c r="AG9" s="1">
        <v>45897</v>
      </c>
      <c r="AI9">
        <v>1</v>
      </c>
      <c r="AJ9" t="s">
        <v>44</v>
      </c>
      <c r="AK9">
        <v>1</v>
      </c>
    </row>
    <row r="10" spans="1:40" x14ac:dyDescent="0.25">
      <c r="A10">
        <v>19635856</v>
      </c>
      <c r="B10">
        <v>31</v>
      </c>
      <c r="C10">
        <v>2</v>
      </c>
      <c r="D10">
        <v>3</v>
      </c>
      <c r="E10" t="str">
        <f t="shared" si="0"/>
        <v>GRID32</v>
      </c>
      <c r="J10">
        <v>24</v>
      </c>
      <c r="K10">
        <v>6</v>
      </c>
      <c r="L10">
        <v>-1</v>
      </c>
      <c r="M10">
        <v>-1</v>
      </c>
      <c r="N10">
        <v>4055</v>
      </c>
      <c r="O10">
        <v>4056</v>
      </c>
      <c r="P10">
        <v>4054</v>
      </c>
      <c r="Q10">
        <v>952</v>
      </c>
      <c r="R10">
        <v>952</v>
      </c>
      <c r="S10" t="s">
        <v>59</v>
      </c>
      <c r="T10" t="s">
        <v>40</v>
      </c>
      <c r="U10">
        <v>304</v>
      </c>
      <c r="V10" t="s">
        <v>41</v>
      </c>
      <c r="W10">
        <v>8</v>
      </c>
      <c r="X10" t="s">
        <v>42</v>
      </c>
      <c r="Y10" t="s">
        <v>60</v>
      </c>
      <c r="Z10">
        <v>4055</v>
      </c>
      <c r="AA10">
        <v>1804</v>
      </c>
      <c r="AB10" t="s">
        <v>42</v>
      </c>
      <c r="AC10" s="1">
        <v>45909</v>
      </c>
      <c r="AD10">
        <v>1</v>
      </c>
      <c r="AE10">
        <v>22</v>
      </c>
      <c r="AG10" s="1">
        <v>45897</v>
      </c>
      <c r="AI10">
        <v>1</v>
      </c>
      <c r="AJ10" t="s">
        <v>44</v>
      </c>
      <c r="AK10">
        <v>1</v>
      </c>
    </row>
    <row r="11" spans="1:40" x14ac:dyDescent="0.25">
      <c r="A11">
        <v>19639385</v>
      </c>
      <c r="B11">
        <v>25</v>
      </c>
      <c r="C11">
        <v>4</v>
      </c>
      <c r="D11">
        <v>2</v>
      </c>
      <c r="E11" t="str">
        <f t="shared" si="0"/>
        <v>GRID24</v>
      </c>
      <c r="J11">
        <v>32</v>
      </c>
      <c r="K11">
        <v>8</v>
      </c>
      <c r="L11">
        <v>-1</v>
      </c>
      <c r="M11">
        <v>-1</v>
      </c>
      <c r="N11">
        <v>4060</v>
      </c>
      <c r="O11">
        <v>4062</v>
      </c>
      <c r="P11">
        <v>4061</v>
      </c>
      <c r="Q11">
        <v>944</v>
      </c>
      <c r="R11">
        <v>944</v>
      </c>
      <c r="S11" t="s">
        <v>39</v>
      </c>
      <c r="T11" t="s">
        <v>40</v>
      </c>
      <c r="U11">
        <v>304</v>
      </c>
      <c r="V11" t="s">
        <v>41</v>
      </c>
      <c r="W11">
        <v>2</v>
      </c>
      <c r="X11" t="s">
        <v>42</v>
      </c>
      <c r="Y11" t="s">
        <v>43</v>
      </c>
      <c r="Z11">
        <v>4060</v>
      </c>
      <c r="AA11">
        <v>1830</v>
      </c>
      <c r="AB11" t="s">
        <v>42</v>
      </c>
      <c r="AC11" s="1">
        <v>45916</v>
      </c>
      <c r="AD11">
        <v>1</v>
      </c>
      <c r="AE11">
        <v>1101</v>
      </c>
      <c r="AG11" s="1">
        <v>45897</v>
      </c>
      <c r="AI11">
        <v>1</v>
      </c>
      <c r="AJ11" t="s">
        <v>61</v>
      </c>
      <c r="AK11">
        <v>1</v>
      </c>
    </row>
    <row r="12" spans="1:40" x14ac:dyDescent="0.25">
      <c r="A12">
        <v>19639388</v>
      </c>
      <c r="B12">
        <v>12</v>
      </c>
      <c r="C12">
        <v>3</v>
      </c>
      <c r="D12">
        <v>3</v>
      </c>
      <c r="E12" t="str">
        <f t="shared" si="0"/>
        <v>GRID33</v>
      </c>
      <c r="J12">
        <v>36</v>
      </c>
      <c r="K12">
        <v>9</v>
      </c>
      <c r="L12">
        <v>-1</v>
      </c>
      <c r="M12">
        <v>-1</v>
      </c>
      <c r="N12">
        <v>4061</v>
      </c>
      <c r="O12">
        <v>4060</v>
      </c>
      <c r="P12">
        <v>4057</v>
      </c>
      <c r="Q12">
        <v>945</v>
      </c>
      <c r="R12">
        <v>945</v>
      </c>
      <c r="S12" t="s">
        <v>45</v>
      </c>
      <c r="T12" t="s">
        <v>40</v>
      </c>
      <c r="U12">
        <v>304</v>
      </c>
      <c r="V12" t="s">
        <v>41</v>
      </c>
      <c r="W12">
        <v>3</v>
      </c>
      <c r="X12" t="s">
        <v>42</v>
      </c>
      <c r="Y12" t="s">
        <v>46</v>
      </c>
      <c r="Z12">
        <v>4061</v>
      </c>
      <c r="AA12">
        <v>1830</v>
      </c>
      <c r="AB12" t="s">
        <v>42</v>
      </c>
      <c r="AC12" s="1">
        <v>45916</v>
      </c>
      <c r="AD12">
        <v>1</v>
      </c>
      <c r="AE12">
        <v>1101</v>
      </c>
      <c r="AG12" s="1">
        <v>45897</v>
      </c>
      <c r="AI12">
        <v>1</v>
      </c>
      <c r="AJ12" t="s">
        <v>61</v>
      </c>
      <c r="AK12">
        <v>1</v>
      </c>
    </row>
    <row r="13" spans="1:40" x14ac:dyDescent="0.25">
      <c r="A13">
        <v>19639400</v>
      </c>
      <c r="B13">
        <v>12</v>
      </c>
      <c r="C13">
        <v>5</v>
      </c>
      <c r="D13">
        <v>2</v>
      </c>
      <c r="E13" t="str">
        <f t="shared" si="0"/>
        <v>GRID25</v>
      </c>
      <c r="J13">
        <v>40</v>
      </c>
      <c r="K13">
        <v>10</v>
      </c>
      <c r="L13">
        <v>-1</v>
      </c>
      <c r="M13">
        <v>-1</v>
      </c>
      <c r="N13">
        <v>4056</v>
      </c>
      <c r="O13">
        <v>4058</v>
      </c>
      <c r="P13">
        <v>4055</v>
      </c>
      <c r="Q13">
        <v>946</v>
      </c>
      <c r="R13">
        <v>946</v>
      </c>
      <c r="S13" t="s">
        <v>47</v>
      </c>
      <c r="T13" t="s">
        <v>40</v>
      </c>
      <c r="U13">
        <v>304</v>
      </c>
      <c r="V13" t="s">
        <v>41</v>
      </c>
      <c r="W13">
        <v>7</v>
      </c>
      <c r="X13" t="s">
        <v>42</v>
      </c>
      <c r="Y13" t="s">
        <v>48</v>
      </c>
      <c r="Z13">
        <v>4056</v>
      </c>
      <c r="AA13">
        <v>1830</v>
      </c>
      <c r="AB13" t="s">
        <v>42</v>
      </c>
      <c r="AC13" s="1">
        <v>45916</v>
      </c>
      <c r="AD13">
        <v>1</v>
      </c>
      <c r="AE13">
        <v>1101</v>
      </c>
      <c r="AG13" s="1">
        <v>45897</v>
      </c>
      <c r="AI13">
        <v>1</v>
      </c>
      <c r="AJ13" t="s">
        <v>61</v>
      </c>
      <c r="AK13">
        <v>1</v>
      </c>
    </row>
    <row r="14" spans="1:40" x14ac:dyDescent="0.25">
      <c r="A14">
        <v>19639406</v>
      </c>
      <c r="B14">
        <v>11</v>
      </c>
      <c r="C14">
        <v>2</v>
      </c>
      <c r="D14">
        <v>3</v>
      </c>
      <c r="E14" t="str">
        <f t="shared" si="0"/>
        <v>GRID32</v>
      </c>
      <c r="J14">
        <v>24</v>
      </c>
      <c r="K14">
        <v>6</v>
      </c>
      <c r="L14">
        <v>-1</v>
      </c>
      <c r="M14">
        <v>-1</v>
      </c>
      <c r="N14">
        <v>4054</v>
      </c>
      <c r="O14">
        <v>4055</v>
      </c>
      <c r="P14">
        <v>0</v>
      </c>
      <c r="Q14">
        <v>947</v>
      </c>
      <c r="R14">
        <v>947</v>
      </c>
      <c r="S14" t="s">
        <v>49</v>
      </c>
      <c r="T14" t="s">
        <v>40</v>
      </c>
      <c r="U14">
        <v>304</v>
      </c>
      <c r="V14" t="s">
        <v>41</v>
      </c>
      <c r="W14">
        <v>9</v>
      </c>
      <c r="X14" t="s">
        <v>42</v>
      </c>
      <c r="Y14" t="s">
        <v>50</v>
      </c>
      <c r="Z14">
        <v>4054</v>
      </c>
      <c r="AA14">
        <v>1830</v>
      </c>
      <c r="AB14" t="s">
        <v>42</v>
      </c>
      <c r="AC14" s="1">
        <v>45916</v>
      </c>
      <c r="AD14">
        <v>1</v>
      </c>
      <c r="AE14">
        <v>1101</v>
      </c>
      <c r="AG14" s="1">
        <v>45897</v>
      </c>
      <c r="AI14">
        <v>1</v>
      </c>
      <c r="AJ14" t="s">
        <v>61</v>
      </c>
      <c r="AK14">
        <v>1</v>
      </c>
    </row>
    <row r="15" spans="1:40" x14ac:dyDescent="0.25">
      <c r="A15">
        <v>19639391</v>
      </c>
      <c r="B15">
        <v>11</v>
      </c>
      <c r="C15">
        <v>2</v>
      </c>
      <c r="D15">
        <v>3</v>
      </c>
      <c r="E15" t="str">
        <f t="shared" si="0"/>
        <v>GRID32</v>
      </c>
      <c r="J15">
        <v>24</v>
      </c>
      <c r="K15">
        <v>6</v>
      </c>
      <c r="L15">
        <v>-1</v>
      </c>
      <c r="M15">
        <v>-1</v>
      </c>
      <c r="N15">
        <v>4057</v>
      </c>
      <c r="O15">
        <v>4061</v>
      </c>
      <c r="P15">
        <v>4059</v>
      </c>
      <c r="Q15">
        <v>948</v>
      </c>
      <c r="R15">
        <v>948</v>
      </c>
      <c r="S15" t="s">
        <v>51</v>
      </c>
      <c r="T15" t="s">
        <v>40</v>
      </c>
      <c r="U15">
        <v>304</v>
      </c>
      <c r="V15" t="s">
        <v>41</v>
      </c>
      <c r="W15">
        <v>4</v>
      </c>
      <c r="X15" t="s">
        <v>42</v>
      </c>
      <c r="Y15" t="s">
        <v>52</v>
      </c>
      <c r="Z15">
        <v>4057</v>
      </c>
      <c r="AA15">
        <v>1830</v>
      </c>
      <c r="AB15" t="s">
        <v>42</v>
      </c>
      <c r="AC15" s="1">
        <v>45916</v>
      </c>
      <c r="AD15">
        <v>1</v>
      </c>
      <c r="AE15">
        <v>1101</v>
      </c>
      <c r="AG15" s="1">
        <v>45897</v>
      </c>
      <c r="AI15">
        <v>1</v>
      </c>
      <c r="AJ15" t="s">
        <v>61</v>
      </c>
      <c r="AK15">
        <v>1</v>
      </c>
    </row>
    <row r="16" spans="1:40" x14ac:dyDescent="0.25">
      <c r="A16">
        <v>19639394</v>
      </c>
      <c r="B16">
        <v>8</v>
      </c>
      <c r="C16">
        <v>4</v>
      </c>
      <c r="D16">
        <v>2</v>
      </c>
      <c r="E16" t="str">
        <f t="shared" si="0"/>
        <v>GRID24</v>
      </c>
      <c r="J16">
        <v>32</v>
      </c>
      <c r="K16">
        <v>8</v>
      </c>
      <c r="L16">
        <v>-1</v>
      </c>
      <c r="M16">
        <v>-1</v>
      </c>
      <c r="N16">
        <v>4059</v>
      </c>
      <c r="O16">
        <v>4057</v>
      </c>
      <c r="P16">
        <v>4058</v>
      </c>
      <c r="Q16">
        <v>949</v>
      </c>
      <c r="R16">
        <v>949</v>
      </c>
      <c r="S16" t="s">
        <v>53</v>
      </c>
      <c r="T16" t="s">
        <v>40</v>
      </c>
      <c r="U16">
        <v>304</v>
      </c>
      <c r="V16" t="s">
        <v>41</v>
      </c>
      <c r="W16">
        <v>5</v>
      </c>
      <c r="X16" t="s">
        <v>42</v>
      </c>
      <c r="Y16" t="s">
        <v>54</v>
      </c>
      <c r="Z16">
        <v>4059</v>
      </c>
      <c r="AA16">
        <v>1830</v>
      </c>
      <c r="AB16" t="s">
        <v>42</v>
      </c>
      <c r="AC16" s="1">
        <v>45916</v>
      </c>
      <c r="AD16">
        <v>1</v>
      </c>
      <c r="AE16">
        <v>1101</v>
      </c>
      <c r="AG16" s="1">
        <v>45897</v>
      </c>
      <c r="AI16">
        <v>1</v>
      </c>
      <c r="AJ16" t="s">
        <v>61</v>
      </c>
      <c r="AK16">
        <v>1</v>
      </c>
    </row>
    <row r="17" spans="1:37" x14ac:dyDescent="0.25">
      <c r="A17">
        <v>19639397</v>
      </c>
      <c r="B17">
        <v>21</v>
      </c>
      <c r="C17">
        <v>4</v>
      </c>
      <c r="D17">
        <v>3</v>
      </c>
      <c r="E17" t="str">
        <f t="shared" si="0"/>
        <v>GRID34</v>
      </c>
      <c r="J17">
        <v>48</v>
      </c>
      <c r="K17">
        <v>12</v>
      </c>
      <c r="L17">
        <v>-1</v>
      </c>
      <c r="M17">
        <v>-1</v>
      </c>
      <c r="N17">
        <v>4058</v>
      </c>
      <c r="O17">
        <v>4059</v>
      </c>
      <c r="P17">
        <v>4056</v>
      </c>
      <c r="Q17">
        <v>950</v>
      </c>
      <c r="R17">
        <v>950</v>
      </c>
      <c r="S17" t="s">
        <v>55</v>
      </c>
      <c r="T17" t="s">
        <v>40</v>
      </c>
      <c r="U17">
        <v>304</v>
      </c>
      <c r="V17" t="s">
        <v>41</v>
      </c>
      <c r="W17">
        <v>6</v>
      </c>
      <c r="X17" t="s">
        <v>42</v>
      </c>
      <c r="Y17" t="s">
        <v>56</v>
      </c>
      <c r="Z17">
        <v>4058</v>
      </c>
      <c r="AA17">
        <v>1830</v>
      </c>
      <c r="AB17" t="s">
        <v>42</v>
      </c>
      <c r="AC17" s="1">
        <v>45916</v>
      </c>
      <c r="AD17">
        <v>1</v>
      </c>
      <c r="AE17">
        <v>1101</v>
      </c>
      <c r="AG17" s="1">
        <v>45897</v>
      </c>
      <c r="AI17">
        <v>1</v>
      </c>
      <c r="AJ17" t="s">
        <v>61</v>
      </c>
      <c r="AK17">
        <v>1</v>
      </c>
    </row>
    <row r="18" spans="1:37" x14ac:dyDescent="0.25">
      <c r="A18">
        <v>19639382</v>
      </c>
      <c r="B18">
        <v>37</v>
      </c>
      <c r="C18">
        <v>4</v>
      </c>
      <c r="D18">
        <v>2</v>
      </c>
      <c r="E18" t="str">
        <f t="shared" si="0"/>
        <v>GRID24</v>
      </c>
      <c r="J18">
        <v>32</v>
      </c>
      <c r="K18">
        <v>8</v>
      </c>
      <c r="L18">
        <v>-1</v>
      </c>
      <c r="M18">
        <v>-1</v>
      </c>
      <c r="N18">
        <v>4062</v>
      </c>
      <c r="O18">
        <v>0</v>
      </c>
      <c r="P18">
        <v>4060</v>
      </c>
      <c r="Q18">
        <v>951</v>
      </c>
      <c r="R18">
        <v>951</v>
      </c>
      <c r="S18" t="s">
        <v>57</v>
      </c>
      <c r="T18" t="s">
        <v>40</v>
      </c>
      <c r="U18">
        <v>304</v>
      </c>
      <c r="V18" t="s">
        <v>41</v>
      </c>
      <c r="W18">
        <v>1</v>
      </c>
      <c r="X18" t="s">
        <v>42</v>
      </c>
      <c r="Y18" t="s">
        <v>58</v>
      </c>
      <c r="Z18">
        <v>4062</v>
      </c>
      <c r="AA18">
        <v>1830</v>
      </c>
      <c r="AB18" t="s">
        <v>42</v>
      </c>
      <c r="AC18" s="1">
        <v>45916</v>
      </c>
      <c r="AD18">
        <v>1</v>
      </c>
      <c r="AE18">
        <v>1101</v>
      </c>
      <c r="AG18" s="1">
        <v>45897</v>
      </c>
      <c r="AI18">
        <v>1</v>
      </c>
      <c r="AJ18" t="s">
        <v>61</v>
      </c>
      <c r="AK18">
        <v>1</v>
      </c>
    </row>
    <row r="19" spans="1:37" x14ac:dyDescent="0.25">
      <c r="A19">
        <v>19639403</v>
      </c>
      <c r="B19">
        <v>15</v>
      </c>
      <c r="C19">
        <v>4</v>
      </c>
      <c r="D19">
        <v>2</v>
      </c>
      <c r="E19" t="str">
        <f t="shared" si="0"/>
        <v>GRID24</v>
      </c>
      <c r="J19">
        <v>32</v>
      </c>
      <c r="K19">
        <v>8</v>
      </c>
      <c r="L19">
        <v>-1</v>
      </c>
      <c r="M19">
        <v>-1</v>
      </c>
      <c r="N19">
        <v>4055</v>
      </c>
      <c r="O19">
        <v>4056</v>
      </c>
      <c r="P19">
        <v>4054</v>
      </c>
      <c r="Q19">
        <v>952</v>
      </c>
      <c r="R19">
        <v>952</v>
      </c>
      <c r="S19" t="s">
        <v>59</v>
      </c>
      <c r="T19" t="s">
        <v>40</v>
      </c>
      <c r="U19">
        <v>304</v>
      </c>
      <c r="V19" t="s">
        <v>41</v>
      </c>
      <c r="W19">
        <v>8</v>
      </c>
      <c r="X19" t="s">
        <v>42</v>
      </c>
      <c r="Y19" t="s">
        <v>60</v>
      </c>
      <c r="Z19">
        <v>4055</v>
      </c>
      <c r="AA19">
        <v>1830</v>
      </c>
      <c r="AB19" t="s">
        <v>42</v>
      </c>
      <c r="AC19" s="1">
        <v>45916</v>
      </c>
      <c r="AD19">
        <v>1</v>
      </c>
      <c r="AE19">
        <v>1101</v>
      </c>
      <c r="AG19" s="1">
        <v>45897</v>
      </c>
      <c r="AI19">
        <v>1</v>
      </c>
      <c r="AJ19" t="s">
        <v>61</v>
      </c>
      <c r="AK19">
        <v>1</v>
      </c>
    </row>
    <row r="20" spans="1:37" x14ac:dyDescent="0.25">
      <c r="A20">
        <v>19646788</v>
      </c>
      <c r="B20">
        <v>9</v>
      </c>
      <c r="C20">
        <v>4</v>
      </c>
      <c r="D20">
        <v>3</v>
      </c>
      <c r="E20" t="str">
        <f t="shared" si="0"/>
        <v>GRID34</v>
      </c>
      <c r="J20">
        <v>48</v>
      </c>
      <c r="K20">
        <v>12</v>
      </c>
      <c r="L20">
        <v>-1</v>
      </c>
      <c r="M20">
        <v>-1</v>
      </c>
      <c r="N20">
        <v>4060</v>
      </c>
      <c r="O20">
        <v>4062</v>
      </c>
      <c r="P20">
        <v>4061</v>
      </c>
      <c r="Q20">
        <v>944</v>
      </c>
      <c r="R20">
        <v>944</v>
      </c>
      <c r="S20" t="s">
        <v>39</v>
      </c>
      <c r="T20" t="s">
        <v>40</v>
      </c>
      <c r="U20">
        <v>304</v>
      </c>
      <c r="V20" t="s">
        <v>41</v>
      </c>
      <c r="W20">
        <v>2</v>
      </c>
      <c r="X20" t="s">
        <v>42</v>
      </c>
      <c r="Y20" t="s">
        <v>43</v>
      </c>
      <c r="Z20">
        <v>4060</v>
      </c>
      <c r="AA20">
        <v>1840</v>
      </c>
      <c r="AB20" t="s">
        <v>42</v>
      </c>
      <c r="AC20" s="1">
        <v>45931</v>
      </c>
      <c r="AD20">
        <v>1</v>
      </c>
      <c r="AE20">
        <v>1106</v>
      </c>
      <c r="AI20">
        <v>1</v>
      </c>
      <c r="AJ20" t="s">
        <v>62</v>
      </c>
      <c r="AK20">
        <v>1</v>
      </c>
    </row>
    <row r="21" spans="1:37" x14ac:dyDescent="0.25">
      <c r="A21">
        <v>19646793</v>
      </c>
      <c r="B21">
        <v>11</v>
      </c>
      <c r="C21">
        <v>3</v>
      </c>
      <c r="D21">
        <v>2</v>
      </c>
      <c r="E21" t="str">
        <f t="shared" si="0"/>
        <v>GRID23</v>
      </c>
      <c r="J21">
        <v>24</v>
      </c>
      <c r="K21">
        <v>6</v>
      </c>
      <c r="L21">
        <v>-1</v>
      </c>
      <c r="M21">
        <v>-1</v>
      </c>
      <c r="N21">
        <v>4061</v>
      </c>
      <c r="O21">
        <v>4060</v>
      </c>
      <c r="P21">
        <v>4057</v>
      </c>
      <c r="Q21">
        <v>945</v>
      </c>
      <c r="R21">
        <v>945</v>
      </c>
      <c r="S21" t="s">
        <v>45</v>
      </c>
      <c r="T21" t="s">
        <v>40</v>
      </c>
      <c r="U21">
        <v>304</v>
      </c>
      <c r="V21" t="s">
        <v>41</v>
      </c>
      <c r="W21">
        <v>3</v>
      </c>
      <c r="X21" t="s">
        <v>42</v>
      </c>
      <c r="Y21" t="s">
        <v>46</v>
      </c>
      <c r="Z21">
        <v>4061</v>
      </c>
      <c r="AA21">
        <v>1840</v>
      </c>
      <c r="AB21" t="s">
        <v>42</v>
      </c>
      <c r="AC21" s="1">
        <v>45931</v>
      </c>
      <c r="AD21">
        <v>1</v>
      </c>
      <c r="AE21">
        <v>1106</v>
      </c>
      <c r="AI21">
        <v>1</v>
      </c>
      <c r="AJ21" t="s">
        <v>62</v>
      </c>
      <c r="AK21">
        <v>1</v>
      </c>
    </row>
    <row r="22" spans="1:37" x14ac:dyDescent="0.25">
      <c r="A22">
        <v>19646813</v>
      </c>
      <c r="B22">
        <v>14</v>
      </c>
      <c r="C22">
        <v>4</v>
      </c>
      <c r="D22">
        <v>3</v>
      </c>
      <c r="E22" t="str">
        <f t="shared" si="0"/>
        <v>GRID34</v>
      </c>
      <c r="J22">
        <v>48</v>
      </c>
      <c r="K22">
        <v>12</v>
      </c>
      <c r="L22">
        <v>-1</v>
      </c>
      <c r="M22">
        <v>-1</v>
      </c>
      <c r="N22">
        <v>4056</v>
      </c>
      <c r="O22">
        <v>4058</v>
      </c>
      <c r="P22">
        <v>4055</v>
      </c>
      <c r="Q22">
        <v>946</v>
      </c>
      <c r="R22">
        <v>946</v>
      </c>
      <c r="S22" t="s">
        <v>47</v>
      </c>
      <c r="T22" t="s">
        <v>40</v>
      </c>
      <c r="U22">
        <v>304</v>
      </c>
      <c r="V22" t="s">
        <v>41</v>
      </c>
      <c r="W22">
        <v>7</v>
      </c>
      <c r="X22" t="s">
        <v>42</v>
      </c>
      <c r="Y22" t="s">
        <v>48</v>
      </c>
      <c r="Z22">
        <v>4056</v>
      </c>
      <c r="AA22">
        <v>1840</v>
      </c>
      <c r="AB22" t="s">
        <v>42</v>
      </c>
      <c r="AC22" s="1">
        <v>45931</v>
      </c>
      <c r="AD22">
        <v>1</v>
      </c>
      <c r="AE22">
        <v>1106</v>
      </c>
      <c r="AI22">
        <v>1</v>
      </c>
      <c r="AJ22" t="s">
        <v>62</v>
      </c>
      <c r="AK22">
        <v>1</v>
      </c>
    </row>
    <row r="23" spans="1:37" x14ac:dyDescent="0.25">
      <c r="A23">
        <v>19646823</v>
      </c>
      <c r="B23">
        <v>6</v>
      </c>
      <c r="C23">
        <v>3</v>
      </c>
      <c r="D23">
        <v>3</v>
      </c>
      <c r="E23" t="str">
        <f t="shared" si="0"/>
        <v>GRID33</v>
      </c>
      <c r="J23">
        <v>36</v>
      </c>
      <c r="K23">
        <v>9</v>
      </c>
      <c r="L23">
        <v>-1</v>
      </c>
      <c r="M23">
        <v>-1</v>
      </c>
      <c r="N23">
        <v>4054</v>
      </c>
      <c r="O23">
        <v>4055</v>
      </c>
      <c r="P23">
        <v>0</v>
      </c>
      <c r="Q23">
        <v>947</v>
      </c>
      <c r="R23">
        <v>947</v>
      </c>
      <c r="S23" t="s">
        <v>49</v>
      </c>
      <c r="T23" t="s">
        <v>40</v>
      </c>
      <c r="U23">
        <v>304</v>
      </c>
      <c r="V23" t="s">
        <v>41</v>
      </c>
      <c r="W23">
        <v>9</v>
      </c>
      <c r="X23" t="s">
        <v>42</v>
      </c>
      <c r="Y23" t="s">
        <v>50</v>
      </c>
      <c r="Z23">
        <v>4054</v>
      </c>
      <c r="AA23">
        <v>1840</v>
      </c>
      <c r="AB23" t="s">
        <v>42</v>
      </c>
      <c r="AC23" s="1">
        <v>45931</v>
      </c>
      <c r="AD23">
        <v>1</v>
      </c>
      <c r="AE23">
        <v>1106</v>
      </c>
      <c r="AI23">
        <v>1</v>
      </c>
      <c r="AJ23" t="s">
        <v>62</v>
      </c>
      <c r="AK23">
        <v>1</v>
      </c>
    </row>
    <row r="24" spans="1:37" x14ac:dyDescent="0.25">
      <c r="A24">
        <v>19646798</v>
      </c>
      <c r="B24">
        <v>14</v>
      </c>
      <c r="C24">
        <v>3</v>
      </c>
      <c r="D24">
        <v>4</v>
      </c>
      <c r="E24" t="str">
        <f t="shared" si="0"/>
        <v>GRID43</v>
      </c>
      <c r="J24">
        <v>48</v>
      </c>
      <c r="K24">
        <v>12</v>
      </c>
      <c r="L24">
        <v>-1</v>
      </c>
      <c r="M24">
        <v>-1</v>
      </c>
      <c r="N24">
        <v>4057</v>
      </c>
      <c r="O24">
        <v>4061</v>
      </c>
      <c r="P24">
        <v>4059</v>
      </c>
      <c r="Q24">
        <v>948</v>
      </c>
      <c r="R24">
        <v>948</v>
      </c>
      <c r="S24" t="s">
        <v>51</v>
      </c>
      <c r="T24" t="s">
        <v>40</v>
      </c>
      <c r="U24">
        <v>304</v>
      </c>
      <c r="V24" t="s">
        <v>41</v>
      </c>
      <c r="W24">
        <v>4</v>
      </c>
      <c r="X24" t="s">
        <v>42</v>
      </c>
      <c r="Y24" t="s">
        <v>52</v>
      </c>
      <c r="Z24">
        <v>4057</v>
      </c>
      <c r="AA24">
        <v>1840</v>
      </c>
      <c r="AB24" t="s">
        <v>42</v>
      </c>
      <c r="AC24" s="1">
        <v>45931</v>
      </c>
      <c r="AD24">
        <v>1</v>
      </c>
      <c r="AE24">
        <v>1106</v>
      </c>
      <c r="AI24">
        <v>1</v>
      </c>
      <c r="AJ24" t="s">
        <v>62</v>
      </c>
      <c r="AK24">
        <v>1</v>
      </c>
    </row>
    <row r="25" spans="1:37" x14ac:dyDescent="0.25">
      <c r="A25">
        <v>19646803</v>
      </c>
      <c r="B25">
        <v>17</v>
      </c>
      <c r="C25">
        <v>3</v>
      </c>
      <c r="D25">
        <v>3</v>
      </c>
      <c r="E25" t="str">
        <f t="shared" si="0"/>
        <v>GRID33</v>
      </c>
      <c r="J25">
        <v>36</v>
      </c>
      <c r="K25">
        <v>9</v>
      </c>
      <c r="L25">
        <v>-1</v>
      </c>
      <c r="M25">
        <v>-1</v>
      </c>
      <c r="N25">
        <v>4059</v>
      </c>
      <c r="O25">
        <v>4057</v>
      </c>
      <c r="P25">
        <v>4058</v>
      </c>
      <c r="Q25">
        <v>949</v>
      </c>
      <c r="R25">
        <v>949</v>
      </c>
      <c r="S25" t="s">
        <v>53</v>
      </c>
      <c r="T25" t="s">
        <v>40</v>
      </c>
      <c r="U25">
        <v>304</v>
      </c>
      <c r="V25" t="s">
        <v>41</v>
      </c>
      <c r="W25">
        <v>5</v>
      </c>
      <c r="X25" t="s">
        <v>42</v>
      </c>
      <c r="Y25" t="s">
        <v>54</v>
      </c>
      <c r="Z25">
        <v>4059</v>
      </c>
      <c r="AA25">
        <v>1840</v>
      </c>
      <c r="AB25" t="s">
        <v>42</v>
      </c>
      <c r="AC25" s="1">
        <v>45931</v>
      </c>
      <c r="AD25">
        <v>1</v>
      </c>
      <c r="AE25">
        <v>1106</v>
      </c>
      <c r="AI25">
        <v>1</v>
      </c>
      <c r="AJ25" t="s">
        <v>62</v>
      </c>
      <c r="AK25">
        <v>1</v>
      </c>
    </row>
    <row r="26" spans="1:37" x14ac:dyDescent="0.25">
      <c r="A26">
        <v>19646808</v>
      </c>
      <c r="B26">
        <v>9</v>
      </c>
      <c r="C26">
        <v>4</v>
      </c>
      <c r="D26">
        <v>3</v>
      </c>
      <c r="E26" t="str">
        <f t="shared" si="0"/>
        <v>GRID34</v>
      </c>
      <c r="J26">
        <v>48</v>
      </c>
      <c r="K26">
        <v>12</v>
      </c>
      <c r="L26">
        <v>-1</v>
      </c>
      <c r="M26">
        <v>-1</v>
      </c>
      <c r="N26">
        <v>4058</v>
      </c>
      <c r="O26">
        <v>4059</v>
      </c>
      <c r="P26">
        <v>4056</v>
      </c>
      <c r="Q26">
        <v>950</v>
      </c>
      <c r="R26">
        <v>950</v>
      </c>
      <c r="S26" t="s">
        <v>55</v>
      </c>
      <c r="T26" t="s">
        <v>40</v>
      </c>
      <c r="U26">
        <v>304</v>
      </c>
      <c r="V26" t="s">
        <v>41</v>
      </c>
      <c r="W26">
        <v>6</v>
      </c>
      <c r="X26" t="s">
        <v>42</v>
      </c>
      <c r="Y26" t="s">
        <v>56</v>
      </c>
      <c r="Z26">
        <v>4058</v>
      </c>
      <c r="AA26">
        <v>1840</v>
      </c>
      <c r="AB26" t="s">
        <v>42</v>
      </c>
      <c r="AC26" s="1">
        <v>45931</v>
      </c>
      <c r="AD26">
        <v>1</v>
      </c>
      <c r="AE26">
        <v>1106</v>
      </c>
      <c r="AI26">
        <v>1</v>
      </c>
      <c r="AJ26" t="s">
        <v>62</v>
      </c>
      <c r="AK26">
        <v>1</v>
      </c>
    </row>
    <row r="27" spans="1:37" x14ac:dyDescent="0.25">
      <c r="A27">
        <v>19646783</v>
      </c>
      <c r="B27">
        <v>19</v>
      </c>
      <c r="C27">
        <v>4</v>
      </c>
      <c r="D27">
        <v>3</v>
      </c>
      <c r="E27" t="str">
        <f t="shared" si="0"/>
        <v>GRID34</v>
      </c>
      <c r="J27">
        <v>48</v>
      </c>
      <c r="K27">
        <v>12</v>
      </c>
      <c r="L27">
        <v>-1</v>
      </c>
      <c r="M27">
        <v>-1</v>
      </c>
      <c r="N27">
        <v>4062</v>
      </c>
      <c r="O27">
        <v>0</v>
      </c>
      <c r="P27">
        <v>4060</v>
      </c>
      <c r="Q27">
        <v>951</v>
      </c>
      <c r="R27">
        <v>951</v>
      </c>
      <c r="S27" t="s">
        <v>57</v>
      </c>
      <c r="T27" t="s">
        <v>40</v>
      </c>
      <c r="U27">
        <v>304</v>
      </c>
      <c r="V27" t="s">
        <v>41</v>
      </c>
      <c r="W27">
        <v>1</v>
      </c>
      <c r="X27" t="s">
        <v>42</v>
      </c>
      <c r="Y27" t="s">
        <v>58</v>
      </c>
      <c r="Z27">
        <v>4062</v>
      </c>
      <c r="AA27">
        <v>1840</v>
      </c>
      <c r="AB27" t="s">
        <v>42</v>
      </c>
      <c r="AC27" s="1">
        <v>45931</v>
      </c>
      <c r="AD27">
        <v>1</v>
      </c>
      <c r="AE27">
        <v>1106</v>
      </c>
      <c r="AI27">
        <v>1</v>
      </c>
      <c r="AJ27" t="s">
        <v>62</v>
      </c>
      <c r="AK27">
        <v>1</v>
      </c>
    </row>
    <row r="28" spans="1:37" x14ac:dyDescent="0.25">
      <c r="A28">
        <v>19643226</v>
      </c>
      <c r="B28">
        <v>12</v>
      </c>
      <c r="C28">
        <v>3</v>
      </c>
      <c r="D28">
        <v>3</v>
      </c>
      <c r="E28" t="str">
        <f t="shared" si="0"/>
        <v>GRID33</v>
      </c>
      <c r="J28">
        <v>36</v>
      </c>
      <c r="K28">
        <v>9</v>
      </c>
      <c r="L28">
        <v>-1</v>
      </c>
      <c r="M28">
        <v>-1</v>
      </c>
      <c r="N28">
        <v>4060</v>
      </c>
      <c r="O28">
        <v>4062</v>
      </c>
      <c r="P28">
        <v>4061</v>
      </c>
      <c r="Q28">
        <v>944</v>
      </c>
      <c r="R28">
        <v>944</v>
      </c>
      <c r="S28" t="s">
        <v>39</v>
      </c>
      <c r="T28" t="s">
        <v>40</v>
      </c>
      <c r="U28">
        <v>304</v>
      </c>
      <c r="V28" t="s">
        <v>41</v>
      </c>
      <c r="W28">
        <v>2</v>
      </c>
      <c r="X28" t="s">
        <v>42</v>
      </c>
      <c r="Y28" t="s">
        <v>43</v>
      </c>
      <c r="Z28">
        <v>4060</v>
      </c>
      <c r="AA28">
        <v>1841</v>
      </c>
      <c r="AB28" t="s">
        <v>42</v>
      </c>
      <c r="AC28" s="1">
        <v>45925</v>
      </c>
      <c r="AD28">
        <v>1</v>
      </c>
      <c r="AE28">
        <v>1105</v>
      </c>
      <c r="AI28">
        <v>1</v>
      </c>
      <c r="AJ28" t="s">
        <v>63</v>
      </c>
      <c r="AK28">
        <v>1</v>
      </c>
    </row>
    <row r="29" spans="1:37" x14ac:dyDescent="0.25">
      <c r="A29">
        <v>19643230</v>
      </c>
      <c r="B29">
        <v>15</v>
      </c>
      <c r="C29">
        <v>4</v>
      </c>
      <c r="D29">
        <v>2</v>
      </c>
      <c r="E29" t="str">
        <f t="shared" si="0"/>
        <v>GRID24</v>
      </c>
      <c r="J29">
        <v>32</v>
      </c>
      <c r="K29">
        <v>8</v>
      </c>
      <c r="L29">
        <v>-1</v>
      </c>
      <c r="M29">
        <v>-1</v>
      </c>
      <c r="N29">
        <v>4061</v>
      </c>
      <c r="O29">
        <v>4060</v>
      </c>
      <c r="P29">
        <v>4057</v>
      </c>
      <c r="Q29">
        <v>945</v>
      </c>
      <c r="R29">
        <v>945</v>
      </c>
      <c r="S29" t="s">
        <v>45</v>
      </c>
      <c r="T29" t="s">
        <v>40</v>
      </c>
      <c r="U29">
        <v>304</v>
      </c>
      <c r="V29" t="s">
        <v>41</v>
      </c>
      <c r="W29">
        <v>3</v>
      </c>
      <c r="X29" t="s">
        <v>42</v>
      </c>
      <c r="Y29" t="s">
        <v>46</v>
      </c>
      <c r="Z29">
        <v>4061</v>
      </c>
      <c r="AA29">
        <v>1841</v>
      </c>
      <c r="AB29" t="s">
        <v>42</v>
      </c>
      <c r="AC29" s="1">
        <v>45925</v>
      </c>
      <c r="AD29">
        <v>1</v>
      </c>
      <c r="AE29">
        <v>1105</v>
      </c>
      <c r="AI29">
        <v>1</v>
      </c>
      <c r="AJ29" t="s">
        <v>63</v>
      </c>
      <c r="AK29">
        <v>1</v>
      </c>
    </row>
    <row r="30" spans="1:37" x14ac:dyDescent="0.25">
      <c r="A30">
        <v>19643246</v>
      </c>
      <c r="B30">
        <v>23</v>
      </c>
      <c r="C30">
        <v>4</v>
      </c>
      <c r="D30">
        <v>3</v>
      </c>
      <c r="E30" t="str">
        <f t="shared" si="0"/>
        <v>GRID34</v>
      </c>
      <c r="J30">
        <v>48</v>
      </c>
      <c r="K30">
        <v>12</v>
      </c>
      <c r="L30">
        <v>-1</v>
      </c>
      <c r="M30">
        <v>-1</v>
      </c>
      <c r="N30">
        <v>4056</v>
      </c>
      <c r="O30">
        <v>4058</v>
      </c>
      <c r="P30">
        <v>4055</v>
      </c>
      <c r="Q30">
        <v>946</v>
      </c>
      <c r="R30">
        <v>946</v>
      </c>
      <c r="S30" t="s">
        <v>47</v>
      </c>
      <c r="T30" t="s">
        <v>40</v>
      </c>
      <c r="U30">
        <v>304</v>
      </c>
      <c r="V30" t="s">
        <v>41</v>
      </c>
      <c r="W30">
        <v>7</v>
      </c>
      <c r="X30" t="s">
        <v>42</v>
      </c>
      <c r="Y30" t="s">
        <v>48</v>
      </c>
      <c r="Z30">
        <v>4056</v>
      </c>
      <c r="AA30">
        <v>1841</v>
      </c>
      <c r="AB30" t="s">
        <v>42</v>
      </c>
      <c r="AC30" s="1">
        <v>45925</v>
      </c>
      <c r="AD30">
        <v>1</v>
      </c>
      <c r="AE30">
        <v>1105</v>
      </c>
      <c r="AI30">
        <v>1</v>
      </c>
      <c r="AJ30" t="s">
        <v>63</v>
      </c>
      <c r="AK30">
        <v>1</v>
      </c>
    </row>
    <row r="31" spans="1:37" x14ac:dyDescent="0.25">
      <c r="A31">
        <v>19643254</v>
      </c>
      <c r="B31">
        <v>6</v>
      </c>
      <c r="C31">
        <v>3</v>
      </c>
      <c r="D31">
        <v>3</v>
      </c>
      <c r="E31" t="str">
        <f t="shared" si="0"/>
        <v>GRID33</v>
      </c>
      <c r="J31">
        <v>36</v>
      </c>
      <c r="K31">
        <v>9</v>
      </c>
      <c r="L31">
        <v>-1</v>
      </c>
      <c r="M31">
        <v>-1</v>
      </c>
      <c r="N31">
        <v>4054</v>
      </c>
      <c r="O31">
        <v>4055</v>
      </c>
      <c r="P31">
        <v>0</v>
      </c>
      <c r="Q31">
        <v>947</v>
      </c>
      <c r="R31">
        <v>947</v>
      </c>
      <c r="S31" t="s">
        <v>49</v>
      </c>
      <c r="T31" t="s">
        <v>40</v>
      </c>
      <c r="U31">
        <v>304</v>
      </c>
      <c r="V31" t="s">
        <v>41</v>
      </c>
      <c r="W31">
        <v>9</v>
      </c>
      <c r="X31" t="s">
        <v>42</v>
      </c>
      <c r="Y31" t="s">
        <v>50</v>
      </c>
      <c r="Z31">
        <v>4054</v>
      </c>
      <c r="AA31">
        <v>1841</v>
      </c>
      <c r="AB31" t="s">
        <v>42</v>
      </c>
      <c r="AC31" s="1">
        <v>45925</v>
      </c>
      <c r="AD31">
        <v>1</v>
      </c>
      <c r="AE31">
        <v>1105</v>
      </c>
      <c r="AI31">
        <v>1</v>
      </c>
      <c r="AJ31" t="s">
        <v>63</v>
      </c>
      <c r="AK31">
        <v>1</v>
      </c>
    </row>
    <row r="32" spans="1:37" x14ac:dyDescent="0.25">
      <c r="A32">
        <v>19643234</v>
      </c>
      <c r="B32">
        <v>9</v>
      </c>
      <c r="C32">
        <v>4</v>
      </c>
      <c r="D32">
        <v>3</v>
      </c>
      <c r="E32" t="str">
        <f t="shared" si="0"/>
        <v>GRID34</v>
      </c>
      <c r="J32">
        <v>48</v>
      </c>
      <c r="K32">
        <v>12</v>
      </c>
      <c r="L32">
        <v>-1</v>
      </c>
      <c r="M32">
        <v>-1</v>
      </c>
      <c r="N32">
        <v>4057</v>
      </c>
      <c r="O32">
        <v>4061</v>
      </c>
      <c r="P32">
        <v>4059</v>
      </c>
      <c r="Q32">
        <v>948</v>
      </c>
      <c r="R32">
        <v>948</v>
      </c>
      <c r="S32" t="s">
        <v>51</v>
      </c>
      <c r="T32" t="s">
        <v>40</v>
      </c>
      <c r="U32">
        <v>304</v>
      </c>
      <c r="V32" t="s">
        <v>41</v>
      </c>
      <c r="W32">
        <v>4</v>
      </c>
      <c r="X32" t="s">
        <v>42</v>
      </c>
      <c r="Y32" t="s">
        <v>52</v>
      </c>
      <c r="Z32">
        <v>4057</v>
      </c>
      <c r="AA32">
        <v>1841</v>
      </c>
      <c r="AB32" t="s">
        <v>42</v>
      </c>
      <c r="AC32" s="1">
        <v>45925</v>
      </c>
      <c r="AD32">
        <v>1</v>
      </c>
      <c r="AE32">
        <v>1105</v>
      </c>
      <c r="AI32">
        <v>1</v>
      </c>
      <c r="AJ32" t="s">
        <v>63</v>
      </c>
      <c r="AK32">
        <v>1</v>
      </c>
    </row>
    <row r="33" spans="1:37" x14ac:dyDescent="0.25">
      <c r="A33">
        <v>19646818</v>
      </c>
      <c r="B33">
        <v>11</v>
      </c>
      <c r="C33">
        <v>2</v>
      </c>
      <c r="D33">
        <v>4</v>
      </c>
      <c r="E33" t="str">
        <f t="shared" si="0"/>
        <v>GRID42</v>
      </c>
      <c r="J33">
        <v>32</v>
      </c>
      <c r="K33">
        <v>8</v>
      </c>
      <c r="L33">
        <v>-1</v>
      </c>
      <c r="M33">
        <v>-1</v>
      </c>
      <c r="N33">
        <v>4055</v>
      </c>
      <c r="O33">
        <v>4056</v>
      </c>
      <c r="P33">
        <v>4054</v>
      </c>
      <c r="Q33">
        <v>952</v>
      </c>
      <c r="R33">
        <v>952</v>
      </c>
      <c r="S33" t="s">
        <v>59</v>
      </c>
      <c r="T33" t="s">
        <v>40</v>
      </c>
      <c r="U33">
        <v>304</v>
      </c>
      <c r="V33" t="s">
        <v>41</v>
      </c>
      <c r="W33">
        <v>8</v>
      </c>
      <c r="X33" t="s">
        <v>42</v>
      </c>
      <c r="Y33" t="s">
        <v>60</v>
      </c>
      <c r="Z33">
        <v>4055</v>
      </c>
      <c r="AA33">
        <v>1840</v>
      </c>
      <c r="AB33" t="s">
        <v>42</v>
      </c>
      <c r="AC33" s="1">
        <v>45931</v>
      </c>
      <c r="AD33">
        <v>1</v>
      </c>
      <c r="AE33">
        <v>1106</v>
      </c>
      <c r="AI33">
        <v>1</v>
      </c>
      <c r="AJ33" t="s">
        <v>62</v>
      </c>
      <c r="AK33">
        <v>1</v>
      </c>
    </row>
    <row r="34" spans="1:37" x14ac:dyDescent="0.25">
      <c r="A34">
        <v>19643238</v>
      </c>
      <c r="B34">
        <v>8</v>
      </c>
      <c r="C34">
        <v>3</v>
      </c>
      <c r="D34">
        <v>3</v>
      </c>
      <c r="E34" t="str">
        <f t="shared" si="0"/>
        <v>GRID33</v>
      </c>
      <c r="J34">
        <v>36</v>
      </c>
      <c r="K34">
        <v>9</v>
      </c>
      <c r="L34">
        <v>-1</v>
      </c>
      <c r="M34">
        <v>-1</v>
      </c>
      <c r="N34">
        <v>4059</v>
      </c>
      <c r="O34">
        <v>4057</v>
      </c>
      <c r="P34">
        <v>4058</v>
      </c>
      <c r="Q34">
        <v>949</v>
      </c>
      <c r="R34">
        <v>949</v>
      </c>
      <c r="S34" t="s">
        <v>53</v>
      </c>
      <c r="T34" t="s">
        <v>40</v>
      </c>
      <c r="U34">
        <v>304</v>
      </c>
      <c r="V34" t="s">
        <v>41</v>
      </c>
      <c r="W34">
        <v>5</v>
      </c>
      <c r="X34" t="s">
        <v>42</v>
      </c>
      <c r="Y34" t="s">
        <v>54</v>
      </c>
      <c r="Z34">
        <v>4059</v>
      </c>
      <c r="AA34">
        <v>1841</v>
      </c>
      <c r="AB34" t="s">
        <v>42</v>
      </c>
      <c r="AC34" s="1">
        <v>45925</v>
      </c>
      <c r="AD34">
        <v>1</v>
      </c>
      <c r="AE34">
        <v>1105</v>
      </c>
      <c r="AI34">
        <v>1</v>
      </c>
      <c r="AJ34" t="s">
        <v>63</v>
      </c>
      <c r="AK34">
        <v>1</v>
      </c>
    </row>
    <row r="35" spans="1:37" x14ac:dyDescent="0.25">
      <c r="A35">
        <v>19643242</v>
      </c>
      <c r="B35">
        <v>12</v>
      </c>
      <c r="C35">
        <v>4</v>
      </c>
      <c r="D35">
        <v>3</v>
      </c>
      <c r="E35" t="str">
        <f t="shared" si="0"/>
        <v>GRID34</v>
      </c>
      <c r="J35">
        <v>48</v>
      </c>
      <c r="K35">
        <v>12</v>
      </c>
      <c r="L35">
        <v>-1</v>
      </c>
      <c r="M35">
        <v>-1</v>
      </c>
      <c r="N35">
        <v>4058</v>
      </c>
      <c r="O35">
        <v>4059</v>
      </c>
      <c r="P35">
        <v>4056</v>
      </c>
      <c r="Q35">
        <v>950</v>
      </c>
      <c r="R35">
        <v>950</v>
      </c>
      <c r="S35" t="s">
        <v>55</v>
      </c>
      <c r="T35" t="s">
        <v>40</v>
      </c>
      <c r="U35">
        <v>304</v>
      </c>
      <c r="V35" t="s">
        <v>41</v>
      </c>
      <c r="W35">
        <v>6</v>
      </c>
      <c r="X35" t="s">
        <v>42</v>
      </c>
      <c r="Y35" t="s">
        <v>56</v>
      </c>
      <c r="Z35">
        <v>4058</v>
      </c>
      <c r="AA35">
        <v>1841</v>
      </c>
      <c r="AB35" t="s">
        <v>42</v>
      </c>
      <c r="AC35" s="1">
        <v>45925</v>
      </c>
      <c r="AD35">
        <v>1</v>
      </c>
      <c r="AE35">
        <v>1105</v>
      </c>
      <c r="AI35">
        <v>1</v>
      </c>
      <c r="AJ35" t="s">
        <v>63</v>
      </c>
      <c r="AK35">
        <v>1</v>
      </c>
    </row>
    <row r="36" spans="1:37" x14ac:dyDescent="0.25">
      <c r="A36">
        <v>19643222</v>
      </c>
      <c r="B36">
        <v>23</v>
      </c>
      <c r="C36">
        <v>3</v>
      </c>
      <c r="D36">
        <v>2</v>
      </c>
      <c r="E36" t="str">
        <f t="shared" si="0"/>
        <v>GRID23</v>
      </c>
      <c r="J36">
        <v>24</v>
      </c>
      <c r="K36">
        <v>6</v>
      </c>
      <c r="L36">
        <v>-1</v>
      </c>
      <c r="M36">
        <v>-1</v>
      </c>
      <c r="N36">
        <v>4062</v>
      </c>
      <c r="O36">
        <v>0</v>
      </c>
      <c r="P36">
        <v>4060</v>
      </c>
      <c r="Q36">
        <v>951</v>
      </c>
      <c r="R36">
        <v>951</v>
      </c>
      <c r="S36" t="s">
        <v>57</v>
      </c>
      <c r="T36" t="s">
        <v>40</v>
      </c>
      <c r="U36">
        <v>304</v>
      </c>
      <c r="V36" t="s">
        <v>41</v>
      </c>
      <c r="W36">
        <v>1</v>
      </c>
      <c r="X36" t="s">
        <v>42</v>
      </c>
      <c r="Y36" t="s">
        <v>58</v>
      </c>
      <c r="Z36">
        <v>4062</v>
      </c>
      <c r="AA36">
        <v>1841</v>
      </c>
      <c r="AB36" t="s">
        <v>42</v>
      </c>
      <c r="AC36" s="1">
        <v>45925</v>
      </c>
      <c r="AD36">
        <v>1</v>
      </c>
      <c r="AE36">
        <v>1105</v>
      </c>
      <c r="AI36">
        <v>1</v>
      </c>
      <c r="AJ36" t="s">
        <v>63</v>
      </c>
      <c r="AK36">
        <v>1</v>
      </c>
    </row>
    <row r="37" spans="1:37" x14ac:dyDescent="0.25">
      <c r="A37">
        <v>19643250</v>
      </c>
      <c r="B37">
        <v>9</v>
      </c>
      <c r="C37">
        <v>3</v>
      </c>
      <c r="D37">
        <v>4</v>
      </c>
      <c r="E37" t="str">
        <f t="shared" si="0"/>
        <v>GRID43</v>
      </c>
      <c r="J37">
        <v>48</v>
      </c>
      <c r="K37">
        <v>12</v>
      </c>
      <c r="L37">
        <v>-1</v>
      </c>
      <c r="M37">
        <v>-1</v>
      </c>
      <c r="N37">
        <v>4055</v>
      </c>
      <c r="O37">
        <v>4056</v>
      </c>
      <c r="P37">
        <v>4054</v>
      </c>
      <c r="Q37">
        <v>952</v>
      </c>
      <c r="R37">
        <v>952</v>
      </c>
      <c r="S37" t="s">
        <v>59</v>
      </c>
      <c r="T37" t="s">
        <v>40</v>
      </c>
      <c r="U37">
        <v>304</v>
      </c>
      <c r="V37" t="s">
        <v>41</v>
      </c>
      <c r="W37">
        <v>8</v>
      </c>
      <c r="X37" t="s">
        <v>42</v>
      </c>
      <c r="Y37" t="s">
        <v>60</v>
      </c>
      <c r="Z37">
        <v>4055</v>
      </c>
      <c r="AA37">
        <v>1841</v>
      </c>
      <c r="AB37" t="s">
        <v>42</v>
      </c>
      <c r="AC37" s="1">
        <v>45925</v>
      </c>
      <c r="AD37">
        <v>1</v>
      </c>
      <c r="AE37">
        <v>1105</v>
      </c>
      <c r="AI37">
        <v>1</v>
      </c>
      <c r="AJ37" t="s">
        <v>63</v>
      </c>
      <c r="AK37">
        <v>1</v>
      </c>
    </row>
    <row r="38" spans="1:37" x14ac:dyDescent="0.25">
      <c r="A38">
        <v>19632406</v>
      </c>
      <c r="B38">
        <v>38</v>
      </c>
      <c r="C38">
        <v>4</v>
      </c>
      <c r="D38">
        <v>4</v>
      </c>
      <c r="E38" t="str">
        <f t="shared" si="0"/>
        <v>GRID44</v>
      </c>
      <c r="J38">
        <v>64</v>
      </c>
      <c r="K38">
        <v>16</v>
      </c>
      <c r="L38">
        <v>-1</v>
      </c>
      <c r="M38">
        <v>-1</v>
      </c>
      <c r="N38">
        <v>4060</v>
      </c>
      <c r="O38">
        <v>4062</v>
      </c>
      <c r="P38">
        <v>4061</v>
      </c>
      <c r="Q38">
        <v>944</v>
      </c>
      <c r="R38">
        <v>944</v>
      </c>
      <c r="S38" t="s">
        <v>39</v>
      </c>
      <c r="T38" t="s">
        <v>40</v>
      </c>
      <c r="U38">
        <v>304</v>
      </c>
      <c r="V38" t="s">
        <v>41</v>
      </c>
      <c r="W38">
        <v>2</v>
      </c>
      <c r="X38" t="s">
        <v>42</v>
      </c>
      <c r="Y38" t="s">
        <v>43</v>
      </c>
      <c r="Z38">
        <v>4060</v>
      </c>
      <c r="AA38">
        <v>1842</v>
      </c>
      <c r="AB38" t="s">
        <v>42</v>
      </c>
      <c r="AC38" s="1">
        <v>45901</v>
      </c>
      <c r="AD38">
        <v>1</v>
      </c>
      <c r="AE38">
        <v>331</v>
      </c>
      <c r="AG38" s="1">
        <v>45897</v>
      </c>
      <c r="AI38">
        <v>1</v>
      </c>
      <c r="AJ38" t="s">
        <v>64</v>
      </c>
      <c r="AK38">
        <v>1</v>
      </c>
    </row>
    <row r="39" spans="1:37" x14ac:dyDescent="0.25">
      <c r="A39">
        <v>19632407</v>
      </c>
      <c r="B39">
        <v>22</v>
      </c>
      <c r="C39">
        <v>3</v>
      </c>
      <c r="D39">
        <v>3</v>
      </c>
      <c r="E39" t="str">
        <f t="shared" si="0"/>
        <v>GRID33</v>
      </c>
      <c r="J39">
        <v>36</v>
      </c>
      <c r="K39">
        <v>9</v>
      </c>
      <c r="L39">
        <v>-1</v>
      </c>
      <c r="M39">
        <v>-1</v>
      </c>
      <c r="N39">
        <v>4061</v>
      </c>
      <c r="O39">
        <v>4060</v>
      </c>
      <c r="P39">
        <v>4057</v>
      </c>
      <c r="Q39">
        <v>945</v>
      </c>
      <c r="R39">
        <v>945</v>
      </c>
      <c r="S39" t="s">
        <v>45</v>
      </c>
      <c r="T39" t="s">
        <v>40</v>
      </c>
      <c r="U39">
        <v>304</v>
      </c>
      <c r="V39" t="s">
        <v>41</v>
      </c>
      <c r="W39">
        <v>3</v>
      </c>
      <c r="X39" t="s">
        <v>42</v>
      </c>
      <c r="Y39" t="s">
        <v>46</v>
      </c>
      <c r="Z39">
        <v>4061</v>
      </c>
      <c r="AA39">
        <v>1842</v>
      </c>
      <c r="AB39" t="s">
        <v>42</v>
      </c>
      <c r="AC39" s="1">
        <v>45901</v>
      </c>
      <c r="AD39">
        <v>1</v>
      </c>
      <c r="AE39">
        <v>331</v>
      </c>
      <c r="AG39" s="1">
        <v>45897</v>
      </c>
      <c r="AI39">
        <v>1</v>
      </c>
      <c r="AJ39" t="s">
        <v>64</v>
      </c>
      <c r="AK39">
        <v>1</v>
      </c>
    </row>
    <row r="40" spans="1:37" x14ac:dyDescent="0.25">
      <c r="A40">
        <v>19632411</v>
      </c>
      <c r="B40">
        <v>18</v>
      </c>
      <c r="C40">
        <v>3</v>
      </c>
      <c r="D40">
        <v>3</v>
      </c>
      <c r="E40" t="str">
        <f t="shared" si="0"/>
        <v>GRID33</v>
      </c>
      <c r="J40">
        <v>36</v>
      </c>
      <c r="K40">
        <v>9</v>
      </c>
      <c r="L40">
        <v>-1</v>
      </c>
      <c r="M40">
        <v>-1</v>
      </c>
      <c r="N40">
        <v>4056</v>
      </c>
      <c r="O40">
        <v>4058</v>
      </c>
      <c r="P40">
        <v>4055</v>
      </c>
      <c r="Q40">
        <v>946</v>
      </c>
      <c r="R40">
        <v>946</v>
      </c>
      <c r="S40" t="s">
        <v>47</v>
      </c>
      <c r="T40" t="s">
        <v>40</v>
      </c>
      <c r="U40">
        <v>304</v>
      </c>
      <c r="V40" t="s">
        <v>41</v>
      </c>
      <c r="W40">
        <v>7</v>
      </c>
      <c r="X40" t="s">
        <v>42</v>
      </c>
      <c r="Y40" t="s">
        <v>48</v>
      </c>
      <c r="Z40">
        <v>4056</v>
      </c>
      <c r="AA40">
        <v>1842</v>
      </c>
      <c r="AB40" t="s">
        <v>42</v>
      </c>
      <c r="AC40" s="1">
        <v>45901</v>
      </c>
      <c r="AD40">
        <v>1</v>
      </c>
      <c r="AE40">
        <v>331</v>
      </c>
      <c r="AG40" s="1">
        <v>45897</v>
      </c>
      <c r="AI40">
        <v>1</v>
      </c>
      <c r="AJ40" t="s">
        <v>64</v>
      </c>
      <c r="AK40">
        <v>1</v>
      </c>
    </row>
    <row r="41" spans="1:37" x14ac:dyDescent="0.25">
      <c r="A41">
        <v>19632413</v>
      </c>
      <c r="B41">
        <v>10</v>
      </c>
      <c r="C41">
        <v>3</v>
      </c>
      <c r="D41">
        <v>4</v>
      </c>
      <c r="E41" t="str">
        <f t="shared" si="0"/>
        <v>GRID43</v>
      </c>
      <c r="J41">
        <v>48</v>
      </c>
      <c r="K41">
        <v>12</v>
      </c>
      <c r="L41">
        <v>-1</v>
      </c>
      <c r="M41">
        <v>-1</v>
      </c>
      <c r="N41">
        <v>4054</v>
      </c>
      <c r="O41">
        <v>4055</v>
      </c>
      <c r="P41">
        <v>0</v>
      </c>
      <c r="Q41">
        <v>947</v>
      </c>
      <c r="R41">
        <v>947</v>
      </c>
      <c r="S41" t="s">
        <v>49</v>
      </c>
      <c r="T41" t="s">
        <v>40</v>
      </c>
      <c r="U41">
        <v>304</v>
      </c>
      <c r="V41" t="s">
        <v>41</v>
      </c>
      <c r="W41">
        <v>9</v>
      </c>
      <c r="X41" t="s">
        <v>42</v>
      </c>
      <c r="Y41" t="s">
        <v>50</v>
      </c>
      <c r="Z41">
        <v>4054</v>
      </c>
      <c r="AA41">
        <v>1842</v>
      </c>
      <c r="AB41" t="s">
        <v>42</v>
      </c>
      <c r="AC41" s="1">
        <v>45901</v>
      </c>
      <c r="AD41">
        <v>1</v>
      </c>
      <c r="AE41">
        <v>331</v>
      </c>
      <c r="AG41" s="1">
        <v>45897</v>
      </c>
      <c r="AI41">
        <v>1</v>
      </c>
      <c r="AJ41" t="s">
        <v>64</v>
      </c>
      <c r="AK41">
        <v>1</v>
      </c>
    </row>
    <row r="42" spans="1:37" x14ac:dyDescent="0.25">
      <c r="A42">
        <v>19632408</v>
      </c>
      <c r="B42">
        <v>34</v>
      </c>
      <c r="C42">
        <v>5</v>
      </c>
      <c r="D42">
        <v>2</v>
      </c>
      <c r="E42" t="str">
        <f t="shared" si="0"/>
        <v>GRID25</v>
      </c>
      <c r="J42">
        <v>40</v>
      </c>
      <c r="K42">
        <v>10</v>
      </c>
      <c r="L42">
        <v>-1</v>
      </c>
      <c r="M42">
        <v>-1</v>
      </c>
      <c r="N42">
        <v>4057</v>
      </c>
      <c r="O42">
        <v>4061</v>
      </c>
      <c r="P42">
        <v>4059</v>
      </c>
      <c r="Q42">
        <v>948</v>
      </c>
      <c r="R42">
        <v>948</v>
      </c>
      <c r="S42" t="s">
        <v>51</v>
      </c>
      <c r="T42" t="s">
        <v>40</v>
      </c>
      <c r="U42">
        <v>304</v>
      </c>
      <c r="V42" t="s">
        <v>41</v>
      </c>
      <c r="W42">
        <v>4</v>
      </c>
      <c r="X42" t="s">
        <v>42</v>
      </c>
      <c r="Y42" t="s">
        <v>52</v>
      </c>
      <c r="Z42">
        <v>4057</v>
      </c>
      <c r="AA42">
        <v>1842</v>
      </c>
      <c r="AB42" t="s">
        <v>42</v>
      </c>
      <c r="AC42" s="1">
        <v>45901</v>
      </c>
      <c r="AD42">
        <v>1</v>
      </c>
      <c r="AE42">
        <v>331</v>
      </c>
      <c r="AG42" s="1">
        <v>45897</v>
      </c>
      <c r="AI42">
        <v>1</v>
      </c>
      <c r="AJ42" t="s">
        <v>64</v>
      </c>
      <c r="AK42">
        <v>1</v>
      </c>
    </row>
    <row r="43" spans="1:37" x14ac:dyDescent="0.25">
      <c r="A43">
        <v>19632409</v>
      </c>
      <c r="B43">
        <v>36</v>
      </c>
      <c r="C43">
        <v>3</v>
      </c>
      <c r="D43">
        <v>4</v>
      </c>
      <c r="E43" t="str">
        <f t="shared" si="0"/>
        <v>GRID43</v>
      </c>
      <c r="J43">
        <v>48</v>
      </c>
      <c r="K43">
        <v>12</v>
      </c>
      <c r="L43">
        <v>-1</v>
      </c>
      <c r="M43">
        <v>-1</v>
      </c>
      <c r="N43">
        <v>4059</v>
      </c>
      <c r="O43">
        <v>4057</v>
      </c>
      <c r="P43">
        <v>4058</v>
      </c>
      <c r="Q43">
        <v>949</v>
      </c>
      <c r="R43">
        <v>949</v>
      </c>
      <c r="S43" t="s">
        <v>53</v>
      </c>
      <c r="T43" t="s">
        <v>40</v>
      </c>
      <c r="U43">
        <v>304</v>
      </c>
      <c r="V43" t="s">
        <v>41</v>
      </c>
      <c r="W43">
        <v>5</v>
      </c>
      <c r="X43" t="s">
        <v>42</v>
      </c>
      <c r="Y43" t="s">
        <v>54</v>
      </c>
      <c r="Z43">
        <v>4059</v>
      </c>
      <c r="AA43">
        <v>1842</v>
      </c>
      <c r="AB43" t="s">
        <v>42</v>
      </c>
      <c r="AC43" s="1">
        <v>45901</v>
      </c>
      <c r="AD43">
        <v>1</v>
      </c>
      <c r="AE43">
        <v>331</v>
      </c>
      <c r="AG43" s="1">
        <v>45897</v>
      </c>
      <c r="AI43">
        <v>1</v>
      </c>
      <c r="AJ43" t="s">
        <v>64</v>
      </c>
      <c r="AK43">
        <v>1</v>
      </c>
    </row>
    <row r="44" spans="1:37" x14ac:dyDescent="0.25">
      <c r="A44">
        <v>19632410</v>
      </c>
      <c r="B44">
        <v>132</v>
      </c>
      <c r="C44">
        <v>4</v>
      </c>
      <c r="D44">
        <v>4</v>
      </c>
      <c r="E44" t="str">
        <f t="shared" si="0"/>
        <v>GRID44</v>
      </c>
      <c r="J44">
        <v>64</v>
      </c>
      <c r="K44">
        <v>16</v>
      </c>
      <c r="L44">
        <v>-1</v>
      </c>
      <c r="M44">
        <v>-1</v>
      </c>
      <c r="N44">
        <v>4058</v>
      </c>
      <c r="O44">
        <v>4059</v>
      </c>
      <c r="P44">
        <v>4056</v>
      </c>
      <c r="Q44">
        <v>950</v>
      </c>
      <c r="R44">
        <v>950</v>
      </c>
      <c r="S44" t="s">
        <v>55</v>
      </c>
      <c r="T44" t="s">
        <v>40</v>
      </c>
      <c r="U44">
        <v>304</v>
      </c>
      <c r="V44" t="s">
        <v>41</v>
      </c>
      <c r="W44">
        <v>6</v>
      </c>
      <c r="X44" t="s">
        <v>42</v>
      </c>
      <c r="Y44" t="s">
        <v>56</v>
      </c>
      <c r="Z44">
        <v>4058</v>
      </c>
      <c r="AA44">
        <v>1842</v>
      </c>
      <c r="AB44" t="s">
        <v>42</v>
      </c>
      <c r="AC44" s="1">
        <v>45901</v>
      </c>
      <c r="AD44">
        <v>1</v>
      </c>
      <c r="AE44">
        <v>331</v>
      </c>
      <c r="AG44" s="1">
        <v>45897</v>
      </c>
      <c r="AI44">
        <v>1</v>
      </c>
      <c r="AJ44" t="s">
        <v>64</v>
      </c>
      <c r="AK44">
        <v>1</v>
      </c>
    </row>
    <row r="45" spans="1:37" x14ac:dyDescent="0.25">
      <c r="A45">
        <v>19632405</v>
      </c>
      <c r="B45">
        <v>33</v>
      </c>
      <c r="C45">
        <v>3</v>
      </c>
      <c r="D45">
        <v>3</v>
      </c>
      <c r="E45" t="str">
        <f t="shared" si="0"/>
        <v>GRID33</v>
      </c>
      <c r="J45">
        <v>36</v>
      </c>
      <c r="K45">
        <v>9</v>
      </c>
      <c r="L45">
        <v>-1</v>
      </c>
      <c r="M45">
        <v>-1</v>
      </c>
      <c r="N45">
        <v>4062</v>
      </c>
      <c r="O45">
        <v>0</v>
      </c>
      <c r="P45">
        <v>4060</v>
      </c>
      <c r="Q45">
        <v>951</v>
      </c>
      <c r="R45">
        <v>951</v>
      </c>
      <c r="S45" t="s">
        <v>57</v>
      </c>
      <c r="T45" t="s">
        <v>40</v>
      </c>
      <c r="U45">
        <v>304</v>
      </c>
      <c r="V45" t="s">
        <v>41</v>
      </c>
      <c r="W45">
        <v>1</v>
      </c>
      <c r="X45" t="s">
        <v>42</v>
      </c>
      <c r="Y45" t="s">
        <v>58</v>
      </c>
      <c r="Z45">
        <v>4062</v>
      </c>
      <c r="AA45">
        <v>1842</v>
      </c>
      <c r="AB45" t="s">
        <v>42</v>
      </c>
      <c r="AC45" s="1">
        <v>45901</v>
      </c>
      <c r="AD45">
        <v>1</v>
      </c>
      <c r="AE45">
        <v>331</v>
      </c>
      <c r="AG45" s="1">
        <v>45897</v>
      </c>
      <c r="AI45">
        <v>1</v>
      </c>
      <c r="AJ45" t="s">
        <v>64</v>
      </c>
      <c r="AK45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PMPL_risa_scorans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 Kutej</cp:lastModifiedBy>
  <dcterms:created xsi:type="dcterms:W3CDTF">2025-12-05T19:22:29Z</dcterms:created>
  <dcterms:modified xsi:type="dcterms:W3CDTF">2025-12-05T19:22:29Z</dcterms:modified>
</cp:coreProperties>
</file>